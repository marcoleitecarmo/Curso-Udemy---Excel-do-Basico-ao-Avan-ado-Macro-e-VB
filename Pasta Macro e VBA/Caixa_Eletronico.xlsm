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urso Udemy - Excel do Basico ao Avançado + Macro e VB\"/>
    </mc:Choice>
  </mc:AlternateContent>
  <xr:revisionPtr revIDLastSave="0" documentId="13_ncr:1_{9F0715FA-E3E1-42E4-9F5D-F0DA880AD3BA}" xr6:coauthVersionLast="47" xr6:coauthVersionMax="47" xr10:uidLastSave="{00000000-0000-0000-0000-000000000000}"/>
  <bookViews>
    <workbookView xWindow="-108" yWindow="-108" windowWidth="23256" windowHeight="12456" tabRatio="783" activeTab="2" xr2:uid="{F52D6FD8-89DD-4D16-B55A-55D98ED5E24D}"/>
  </bookViews>
  <sheets>
    <sheet name="Acesso" sheetId="1" r:id="rId1"/>
    <sheet name="Contas" sheetId="2" r:id="rId2"/>
    <sheet name="Tela Principal" sheetId="3" r:id="rId3"/>
    <sheet name="Saldo e Extratos" sheetId="9" r:id="rId4"/>
    <sheet name="Extrato" sheetId="10" r:id="rId5"/>
    <sheet name="Pagamentos" sheetId="8" r:id="rId6"/>
    <sheet name="Saque" sheetId="4" r:id="rId7"/>
    <sheet name="Deposito" sheetId="7" r:id="rId8"/>
    <sheet name="Dinheiro do Saque" sheetId="5" r:id="rId9"/>
    <sheet name="Transações" sheetId="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" l="1"/>
  <c r="F2" i="9"/>
  <c r="C2" i="9"/>
  <c r="K2" i="2"/>
  <c r="D3" i="2"/>
  <c r="D4" i="2"/>
  <c r="D2" i="2"/>
  <c r="C2" i="7"/>
  <c r="I2" i="7" s="1"/>
  <c r="C2" i="8"/>
  <c r="I2" i="8" s="1"/>
  <c r="C2" i="4"/>
  <c r="I2" i="4" s="1"/>
  <c r="D2" i="1"/>
  <c r="F2" i="7" l="1"/>
  <c r="F2" i="4"/>
  <c r="F2" i="8"/>
</calcChain>
</file>

<file path=xl/sharedStrings.xml><?xml version="1.0" encoding="utf-8"?>
<sst xmlns="http://schemas.openxmlformats.org/spreadsheetml/2006/main" count="201" uniqueCount="50">
  <si>
    <t>LOGIN</t>
  </si>
  <si>
    <t>Conta</t>
  </si>
  <si>
    <t>Conta:</t>
  </si>
  <si>
    <t>Senha:</t>
  </si>
  <si>
    <t>Senha</t>
  </si>
  <si>
    <t>Saldo Inicial</t>
  </si>
  <si>
    <t>Saldo Final</t>
  </si>
  <si>
    <t>Dono</t>
  </si>
  <si>
    <t>Acesso</t>
  </si>
  <si>
    <t>aluno</t>
  </si>
  <si>
    <t>Allan</t>
  </si>
  <si>
    <t>usuario</t>
  </si>
  <si>
    <t>Amanda</t>
  </si>
  <si>
    <t>Berenice</t>
  </si>
  <si>
    <t>Conta Logada</t>
  </si>
  <si>
    <t>Saldo</t>
  </si>
  <si>
    <t>POR FAVOR APERTE O BOTÃO CORRESPONDENTE A</t>
  </si>
  <si>
    <t>OPÇÃO DESEJADA</t>
  </si>
  <si>
    <t>VALOR:</t>
  </si>
  <si>
    <t>SELECIONE A OPÇÃO DESEJADA</t>
  </si>
  <si>
    <t>OU DIGITE O VALOR E TECLE SACAR</t>
  </si>
  <si>
    <t>NOTAS DISPONÍVEIS: R$ 2,00, R$ 5,00, R$ 10,00 e R$ 50,00</t>
  </si>
  <si>
    <t>Escolha um valor para saque, apertando os botões ao lado da tela ou digite um valor no campo VALOR.</t>
  </si>
  <si>
    <t>RETIRE SEU DINHEIRO E CONFIRA</t>
  </si>
  <si>
    <t>ID</t>
  </si>
  <si>
    <t>Transação</t>
  </si>
  <si>
    <t>Valor</t>
  </si>
  <si>
    <t>Data</t>
  </si>
  <si>
    <t>Descrição</t>
  </si>
  <si>
    <t>Saldo:</t>
  </si>
  <si>
    <t>Cliente:</t>
  </si>
  <si>
    <t>D</t>
  </si>
  <si>
    <t>Saque</t>
  </si>
  <si>
    <t>OU DIGITE O VALOR E CLIQUE EM DEPOSITAR</t>
  </si>
  <si>
    <t>C</t>
  </si>
  <si>
    <t>Deposito</t>
  </si>
  <si>
    <t>DIGITE COM ATENÇÃO OS DADOS PARA O PAGAMENTO</t>
  </si>
  <si>
    <t>Código de Barras:</t>
  </si>
  <si>
    <t>Valor:</t>
  </si>
  <si>
    <t>Beneficiário:</t>
  </si>
  <si>
    <t>555989888 - Favorecido: Alberto</t>
  </si>
  <si>
    <t>9898898 - Favorecido: Julio</t>
  </si>
  <si>
    <t>898988989 - Favorecido: Pedro</t>
  </si>
  <si>
    <t>SERVIÇOS SUJEITOS A COBRANÇA DE TARIFAS</t>
  </si>
  <si>
    <t>Data Inicio</t>
  </si>
  <si>
    <t>Data Fim</t>
  </si>
  <si>
    <t>9898999 - Favorecido: Investimento em Jogo de Futebol</t>
  </si>
  <si>
    <t>878978978 - Favorecido: Banco</t>
  </si>
  <si>
    <t>878787 - Favorecido: Marcos</t>
  </si>
  <si>
    <t>98989 - Favorecido: 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</si>
</sst>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 indent="1"/>
    </xf>
    <xf numFmtId="0" fontId="4" fillId="0" borderId="0" xfId="0" applyFont="1"/>
    <xf numFmtId="44" fontId="3" fillId="0" borderId="0" xfId="1" applyFont="1"/>
    <xf numFmtId="0" fontId="5" fillId="2" borderId="1" xfId="0" applyFont="1" applyFill="1" applyBorder="1"/>
    <xf numFmtId="0" fontId="3" fillId="0" borderId="0" xfId="0" applyFont="1" applyAlignment="1">
      <alignment horizontal="center"/>
    </xf>
    <xf numFmtId="0" fontId="6" fillId="0" borderId="0" xfId="0" applyFont="1"/>
    <xf numFmtId="0" fontId="0" fillId="0" borderId="2" xfId="0" applyBorder="1"/>
    <xf numFmtId="0" fontId="8" fillId="0" borderId="0" xfId="0" applyFont="1" applyAlignment="1">
      <alignment horizontal="right"/>
    </xf>
    <xf numFmtId="14" fontId="4" fillId="0" borderId="0" xfId="1" applyNumberFormat="1" applyFont="1"/>
    <xf numFmtId="44" fontId="4" fillId="0" borderId="0" xfId="1" applyFont="1"/>
    <xf numFmtId="14" fontId="4" fillId="0" borderId="0" xfId="0" applyNumberFormat="1" applyFont="1"/>
    <xf numFmtId="0" fontId="3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14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E1D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4" Type="http://schemas.openxmlformats.org/officeDocument/2006/relationships/image" Target="../media/image1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76200</xdr:rowOff>
        </xdr:from>
        <xdr:to>
          <xdr:col>10</xdr:col>
          <xdr:colOff>388620</xdr:colOff>
          <xdr:row>13</xdr:row>
          <xdr:rowOff>160020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137160</xdr:colOff>
      <xdr:row>10</xdr:row>
      <xdr:rowOff>419100</xdr:rowOff>
    </xdr:from>
    <xdr:to>
      <xdr:col>10</xdr:col>
      <xdr:colOff>495300</xdr:colOff>
      <xdr:row>14</xdr:row>
      <xdr:rowOff>15240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5560" y="2491740"/>
          <a:ext cx="4015740" cy="571500"/>
        </a:xfrm>
        <a:prstGeom prst="round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137160</xdr:colOff>
      <xdr:row>18</xdr:row>
      <xdr:rowOff>419100</xdr:rowOff>
    </xdr:from>
    <xdr:to>
      <xdr:col>10</xdr:col>
      <xdr:colOff>495300</xdr:colOff>
      <xdr:row>22</xdr:row>
      <xdr:rowOff>15240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75560" y="2148840"/>
          <a:ext cx="4015740" cy="563880"/>
        </a:xfrm>
        <a:prstGeom prst="round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19</xdr:row>
          <xdr:rowOff>83820</xdr:rowOff>
        </xdr:from>
        <xdr:to>
          <xdr:col>10</xdr:col>
          <xdr:colOff>426720</xdr:colOff>
          <xdr:row>21</xdr:row>
          <xdr:rowOff>167640</xdr:rowOff>
        </xdr:to>
        <xdr:sp macro="" textlink="">
          <xdr:nvSpPr>
            <xdr:cNvPr id="1026" name="txtSenh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60960</xdr:rowOff>
        </xdr:from>
        <xdr:to>
          <xdr:col>10</xdr:col>
          <xdr:colOff>579120</xdr:colOff>
          <xdr:row>27</xdr:row>
          <xdr:rowOff>68580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167640</xdr:colOff>
      <xdr:row>9</xdr:row>
      <xdr:rowOff>38100</xdr:rowOff>
    </xdr:from>
    <xdr:to>
      <xdr:col>9</xdr:col>
      <xdr:colOff>30480</xdr:colOff>
      <xdr:row>12</xdr:row>
      <xdr:rowOff>0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96440" y="1988820"/>
          <a:ext cx="352044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DEPÓSITOS</a:t>
          </a:r>
        </a:p>
      </xdr:txBody>
    </xdr:sp>
    <xdr:clientData/>
  </xdr:twoCellAnchor>
  <xdr:twoCellAnchor>
    <xdr:from>
      <xdr:col>3</xdr:col>
      <xdr:colOff>320040</xdr:colOff>
      <xdr:row>9</xdr:row>
      <xdr:rowOff>121920</xdr:rowOff>
    </xdr:from>
    <xdr:to>
      <xdr:col>4</xdr:col>
      <xdr:colOff>7620</xdr:colOff>
      <xdr:row>11</xdr:row>
      <xdr:rowOff>76200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0800000">
          <a:off x="2148840" y="207264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16</xdr:col>
      <xdr:colOff>472440</xdr:colOff>
      <xdr:row>11</xdr:row>
      <xdr:rowOff>144780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705600" y="2377440"/>
          <a:ext cx="352044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SAQUE</a:t>
          </a:r>
        </a:p>
      </xdr:txBody>
    </xdr:sp>
    <xdr:clientData/>
  </xdr:twoCellAnchor>
  <xdr:twoCellAnchor>
    <xdr:from>
      <xdr:col>16</xdr:col>
      <xdr:colOff>68580</xdr:colOff>
      <xdr:row>9</xdr:row>
      <xdr:rowOff>99060</xdr:rowOff>
    </xdr:from>
    <xdr:to>
      <xdr:col>16</xdr:col>
      <xdr:colOff>365760</xdr:colOff>
      <xdr:row>11</xdr:row>
      <xdr:rowOff>53340</xdr:rowOff>
    </xdr:to>
    <xdr:sp macro="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822180" y="247650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152400</xdr:colOff>
      <xdr:row>13</xdr:row>
      <xdr:rowOff>144780</xdr:rowOff>
    </xdr:from>
    <xdr:to>
      <xdr:col>9</xdr:col>
      <xdr:colOff>15240</xdr:colOff>
      <xdr:row>16</xdr:row>
      <xdr:rowOff>106680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981200" y="3253740"/>
          <a:ext cx="352044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PAGAMENTOS</a:t>
          </a:r>
        </a:p>
      </xdr:txBody>
    </xdr:sp>
    <xdr:clientData/>
  </xdr:twoCellAnchor>
  <xdr:twoCellAnchor>
    <xdr:from>
      <xdr:col>3</xdr:col>
      <xdr:colOff>304800</xdr:colOff>
      <xdr:row>14</xdr:row>
      <xdr:rowOff>45720</xdr:rowOff>
    </xdr:from>
    <xdr:to>
      <xdr:col>3</xdr:col>
      <xdr:colOff>601980</xdr:colOff>
      <xdr:row>16</xdr:row>
      <xdr:rowOff>0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 rot="10800000">
          <a:off x="2133600" y="333756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22860</xdr:colOff>
      <xdr:row>13</xdr:row>
      <xdr:rowOff>160020</xdr:rowOff>
    </xdr:from>
    <xdr:to>
      <xdr:col>16</xdr:col>
      <xdr:colOff>495300</xdr:colOff>
      <xdr:row>16</xdr:row>
      <xdr:rowOff>121920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728460" y="3268980"/>
          <a:ext cx="352044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SALDOS</a:t>
          </a:r>
          <a:r>
            <a:rPr lang="pt-BR" sz="2400" baseline="0">
              <a:solidFill>
                <a:schemeClr val="tx1"/>
              </a:solidFill>
            </a:rPr>
            <a:t> E EXTRATOS</a:t>
          </a:r>
          <a:endParaRPr lang="pt-BR" sz="24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91440</xdr:colOff>
      <xdr:row>14</xdr:row>
      <xdr:rowOff>83820</xdr:rowOff>
    </xdr:from>
    <xdr:to>
      <xdr:col>16</xdr:col>
      <xdr:colOff>388620</xdr:colOff>
      <xdr:row>16</xdr:row>
      <xdr:rowOff>38100</xdr:rowOff>
    </xdr:to>
    <xdr:sp macro="[0]!telaSaldoExtratos" textlink="">
      <xdr:nvSpPr>
        <xdr:cNvPr id="10" name="Seta: Divis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845040" y="337566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4</xdr:row>
      <xdr:rowOff>0</xdr:rowOff>
    </xdr:from>
    <xdr:to>
      <xdr:col>3</xdr:col>
      <xdr:colOff>76200</xdr:colOff>
      <xdr:row>5</xdr:row>
      <xdr:rowOff>83820</xdr:rowOff>
    </xdr:to>
    <xdr:sp macro="[0]!voltarParaTel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62940" y="876300"/>
          <a:ext cx="254508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1</xdr:col>
      <xdr:colOff>205740</xdr:colOff>
      <xdr:row>4</xdr:row>
      <xdr:rowOff>60960</xdr:rowOff>
    </xdr:from>
    <xdr:to>
      <xdr:col>1</xdr:col>
      <xdr:colOff>510540</xdr:colOff>
      <xdr:row>5</xdr:row>
      <xdr:rowOff>22860</xdr:rowOff>
    </xdr:to>
    <xdr:sp macro="[0]!voltarParaTel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0800000">
          <a:off x="815340" y="93726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198120</xdr:colOff>
      <xdr:row>12</xdr:row>
      <xdr:rowOff>83820</xdr:rowOff>
    </xdr:from>
    <xdr:to>
      <xdr:col>5</xdr:col>
      <xdr:colOff>769620</xdr:colOff>
      <xdr:row>17</xdr:row>
      <xdr:rowOff>129540</xdr:rowOff>
    </xdr:to>
    <xdr:sp macro="[0]!extratoUltimos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07720" y="2910840"/>
          <a:ext cx="4876800" cy="96012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EXTRATO</a:t>
          </a:r>
          <a:r>
            <a:rPr lang="pt-BR" sz="2400" baseline="0">
              <a:solidFill>
                <a:schemeClr val="tx1"/>
              </a:solidFill>
            </a:rPr>
            <a:t> MÊS</a:t>
          </a:r>
        </a:p>
        <a:p>
          <a:pPr algn="ctr"/>
          <a:r>
            <a:rPr lang="pt-BR" sz="2400" baseline="0">
              <a:solidFill>
                <a:schemeClr val="tx1"/>
              </a:solidFill>
            </a:rPr>
            <a:t>ULTIMOS 30 DIAS</a:t>
          </a:r>
          <a:endParaRPr lang="pt-BR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358139</xdr:colOff>
      <xdr:row>13</xdr:row>
      <xdr:rowOff>45720</xdr:rowOff>
    </xdr:from>
    <xdr:to>
      <xdr:col>1</xdr:col>
      <xdr:colOff>784684</xdr:colOff>
      <xdr:row>16</xdr:row>
      <xdr:rowOff>88710</xdr:rowOff>
    </xdr:to>
    <xdr:sp macro="[0]!extratoUltimos30Dias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10800000">
          <a:off x="967739" y="3055620"/>
          <a:ext cx="426545" cy="59163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7620</xdr:colOff>
      <xdr:row>12</xdr:row>
      <xdr:rowOff>99060</xdr:rowOff>
    </xdr:from>
    <xdr:to>
      <xdr:col>11</xdr:col>
      <xdr:colOff>601980</xdr:colOff>
      <xdr:row>17</xdr:row>
      <xdr:rowOff>144780</xdr:rowOff>
    </xdr:to>
    <xdr:sp macro="[0]!extratoMesesAnterior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04660" y="2926080"/>
          <a:ext cx="4876800" cy="96012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EXTRATO</a:t>
          </a:r>
          <a:r>
            <a:rPr lang="pt-BR" sz="2400" baseline="0">
              <a:solidFill>
                <a:schemeClr val="tx1"/>
              </a:solidFill>
            </a:rPr>
            <a:t> MOVIMENTO</a:t>
          </a:r>
        </a:p>
        <a:p>
          <a:pPr algn="ctr"/>
          <a:r>
            <a:rPr lang="pt-BR" sz="2400" baseline="0">
              <a:solidFill>
                <a:schemeClr val="tx1"/>
              </a:solidFill>
            </a:rPr>
            <a:t>MESES ANTERIORES</a:t>
          </a:r>
          <a:endParaRPr lang="pt-BR" sz="2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495299</xdr:colOff>
      <xdr:row>13</xdr:row>
      <xdr:rowOff>106680</xdr:rowOff>
    </xdr:from>
    <xdr:to>
      <xdr:col>11</xdr:col>
      <xdr:colOff>312244</xdr:colOff>
      <xdr:row>16</xdr:row>
      <xdr:rowOff>149670</xdr:rowOff>
    </xdr:to>
    <xdr:sp macro="[0]!extratoMesesAnteriores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965179" y="3116580"/>
          <a:ext cx="426545" cy="59163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1722120</xdr:colOff>
      <xdr:row>1</xdr:row>
      <xdr:rowOff>129540</xdr:rowOff>
    </xdr:from>
    <xdr:to>
      <xdr:col>7</xdr:col>
      <xdr:colOff>7620</xdr:colOff>
      <xdr:row>3</xdr:row>
      <xdr:rowOff>30480</xdr:rowOff>
    </xdr:to>
    <xdr:sp macro="[0]!voltarPara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53500" y="312420"/>
          <a:ext cx="320802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5</xdr:col>
      <xdr:colOff>1874520</xdr:colOff>
      <xdr:row>2</xdr:row>
      <xdr:rowOff>7620</xdr:rowOff>
    </xdr:from>
    <xdr:to>
      <xdr:col>6</xdr:col>
      <xdr:colOff>243840</xdr:colOff>
      <xdr:row>2</xdr:row>
      <xdr:rowOff>396240</xdr:rowOff>
    </xdr:to>
    <xdr:sp macro="[0]!voltarPara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0800000">
          <a:off x="9105900" y="373380"/>
          <a:ext cx="304800" cy="388620"/>
        </a:xfrm>
        <a:prstGeom prst="chevron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4</xdr:row>
      <xdr:rowOff>0</xdr:rowOff>
    </xdr:from>
    <xdr:to>
      <xdr:col>5</xdr:col>
      <xdr:colOff>15240</xdr:colOff>
      <xdr:row>5</xdr:row>
      <xdr:rowOff>83820</xdr:rowOff>
    </xdr:to>
    <xdr:sp macro="[0]!voltarParaTel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62940" y="876300"/>
          <a:ext cx="281178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1</xdr:col>
      <xdr:colOff>205740</xdr:colOff>
      <xdr:row>4</xdr:row>
      <xdr:rowOff>60960</xdr:rowOff>
    </xdr:from>
    <xdr:to>
      <xdr:col>1</xdr:col>
      <xdr:colOff>510540</xdr:colOff>
      <xdr:row>5</xdr:row>
      <xdr:rowOff>22860</xdr:rowOff>
    </xdr:to>
    <xdr:sp macro="[0]!voltarParaTel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0800000">
          <a:off x="815340" y="93726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198120</xdr:colOff>
      <xdr:row>23</xdr:row>
      <xdr:rowOff>30480</xdr:rowOff>
    </xdr:from>
    <xdr:to>
      <xdr:col>13</xdr:col>
      <xdr:colOff>175260</xdr:colOff>
      <xdr:row>25</xdr:row>
      <xdr:rowOff>175260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77340" y="5509260"/>
          <a:ext cx="842772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13</xdr:row>
          <xdr:rowOff>106680</xdr:rowOff>
        </xdr:from>
        <xdr:to>
          <xdr:col>13</xdr:col>
          <xdr:colOff>175260</xdr:colOff>
          <xdr:row>14</xdr:row>
          <xdr:rowOff>388620</xdr:rowOff>
        </xdr:to>
        <xdr:sp macro="" textlink="">
          <xdr:nvSpPr>
            <xdr:cNvPr id="10241" name="txtCodigoDeBarras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16</xdr:row>
          <xdr:rowOff>152400</xdr:rowOff>
        </xdr:from>
        <xdr:to>
          <xdr:col>13</xdr:col>
          <xdr:colOff>137160</xdr:colOff>
          <xdr:row>17</xdr:row>
          <xdr:rowOff>388620</xdr:rowOff>
        </xdr:to>
        <xdr:sp macro="" textlink="">
          <xdr:nvSpPr>
            <xdr:cNvPr id="10242" name="txtValor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19</xdr:row>
          <xdr:rowOff>144780</xdr:rowOff>
        </xdr:from>
        <xdr:to>
          <xdr:col>13</xdr:col>
          <xdr:colOff>129540</xdr:colOff>
          <xdr:row>21</xdr:row>
          <xdr:rowOff>0</xdr:rowOff>
        </xdr:to>
        <xdr:sp macro="" textlink="">
          <xdr:nvSpPr>
            <xdr:cNvPr id="10243" name="txtBeneficiario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5</xdr:col>
      <xdr:colOff>571500</xdr:colOff>
      <xdr:row>12</xdr:row>
      <xdr:rowOff>45720</xdr:rowOff>
    </xdr:to>
    <xdr:sp macro="[0]!digita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19200" y="249936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152400</xdr:colOff>
      <xdr:row>11</xdr:row>
      <xdr:rowOff>60960</xdr:rowOff>
    </xdr:from>
    <xdr:to>
      <xdr:col>2</xdr:col>
      <xdr:colOff>457200</xdr:colOff>
      <xdr:row>11</xdr:row>
      <xdr:rowOff>449580</xdr:rowOff>
    </xdr:to>
    <xdr:sp macro="[0]!digitaVinte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rot="10800000">
          <a:off x="1371600" y="256032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571500</xdr:colOff>
      <xdr:row>16</xdr:row>
      <xdr:rowOff>144780</xdr:rowOff>
    </xdr:to>
    <xdr:sp macro="[0]!digita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219200" y="274320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152400</xdr:colOff>
      <xdr:row>14</xdr:row>
      <xdr:rowOff>83820</xdr:rowOff>
    </xdr:from>
    <xdr:to>
      <xdr:col>2</xdr:col>
      <xdr:colOff>449580</xdr:colOff>
      <xdr:row>16</xdr:row>
      <xdr:rowOff>38100</xdr:rowOff>
    </xdr:to>
    <xdr:sp macro="[0]!digitaQuarenta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0800000">
          <a:off x="1371600" y="282702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571500</xdr:colOff>
      <xdr:row>20</xdr:row>
      <xdr:rowOff>144780</xdr:rowOff>
    </xdr:to>
    <xdr:sp macro="[0]!digita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219200" y="347472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152400</xdr:colOff>
      <xdr:row>18</xdr:row>
      <xdr:rowOff>83820</xdr:rowOff>
    </xdr:from>
    <xdr:to>
      <xdr:col>2</xdr:col>
      <xdr:colOff>449580</xdr:colOff>
      <xdr:row>20</xdr:row>
      <xdr:rowOff>38100</xdr:rowOff>
    </xdr:to>
    <xdr:sp macro="[0]!digitaCinquenta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0800000">
          <a:off x="1371600" y="355854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5</xdr:col>
      <xdr:colOff>571500</xdr:colOff>
      <xdr:row>24</xdr:row>
      <xdr:rowOff>144780</xdr:rowOff>
    </xdr:to>
    <xdr:sp macro="[0]!digita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219200" y="420624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152400</xdr:colOff>
      <xdr:row>22</xdr:row>
      <xdr:rowOff>83820</xdr:rowOff>
    </xdr:from>
    <xdr:to>
      <xdr:col>2</xdr:col>
      <xdr:colOff>449580</xdr:colOff>
      <xdr:row>24</xdr:row>
      <xdr:rowOff>38100</xdr:rowOff>
    </xdr:to>
    <xdr:sp macro="[0]!digitaCem" textlink="">
      <xdr:nvSpPr>
        <xdr:cNvPr id="9" name="Seta: Divisa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rot="10800000">
          <a:off x="1371600" y="429006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53340</xdr:colOff>
      <xdr:row>10</xdr:row>
      <xdr:rowOff>160020</xdr:rowOff>
    </xdr:from>
    <xdr:to>
      <xdr:col>20</xdr:col>
      <xdr:colOff>15240</xdr:colOff>
      <xdr:row>12</xdr:row>
      <xdr:rowOff>30480</xdr:rowOff>
    </xdr:to>
    <xdr:sp macro="[0]!digitaTre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0416540" y="2476500"/>
          <a:ext cx="2400300" cy="51816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R$ 300,00</a:t>
          </a:r>
        </a:p>
      </xdr:txBody>
    </xdr:sp>
    <xdr:clientData/>
  </xdr:twoCellAnchor>
  <xdr:twoCellAnchor>
    <xdr:from>
      <xdr:col>16</xdr:col>
      <xdr:colOff>53340</xdr:colOff>
      <xdr:row>13</xdr:row>
      <xdr:rowOff>304800</xdr:rowOff>
    </xdr:from>
    <xdr:to>
      <xdr:col>20</xdr:col>
      <xdr:colOff>15240</xdr:colOff>
      <xdr:row>16</xdr:row>
      <xdr:rowOff>121920</xdr:rowOff>
    </xdr:to>
    <xdr:sp macro="[0]!digitaQuinh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0416540" y="345186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R$ 500,00</a:t>
          </a:r>
        </a:p>
      </xdr:txBody>
    </xdr:sp>
    <xdr:clientData/>
  </xdr:twoCellAnchor>
  <xdr:twoCellAnchor>
    <xdr:from>
      <xdr:col>19</xdr:col>
      <xdr:colOff>198120</xdr:colOff>
      <xdr:row>14</xdr:row>
      <xdr:rowOff>76200</xdr:rowOff>
    </xdr:from>
    <xdr:to>
      <xdr:col>19</xdr:col>
      <xdr:colOff>495300</xdr:colOff>
      <xdr:row>16</xdr:row>
      <xdr:rowOff>30480</xdr:rowOff>
    </xdr:to>
    <xdr:sp macro="[0]!digitaQuinhentos" textlink="">
      <xdr:nvSpPr>
        <xdr:cNvPr id="13" name="Seta: Divisa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2390120" y="355092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53340</xdr:colOff>
      <xdr:row>17</xdr:row>
      <xdr:rowOff>160020</xdr:rowOff>
    </xdr:from>
    <xdr:to>
      <xdr:col>20</xdr:col>
      <xdr:colOff>15240</xdr:colOff>
      <xdr:row>20</xdr:row>
      <xdr:rowOff>121920</xdr:rowOff>
    </xdr:to>
    <xdr:sp macro="[0]!digitaNovec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0416540" y="418338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R$ 900,00</a:t>
          </a:r>
        </a:p>
      </xdr:txBody>
    </xdr:sp>
    <xdr:clientData/>
  </xdr:twoCellAnchor>
  <xdr:twoCellAnchor>
    <xdr:from>
      <xdr:col>19</xdr:col>
      <xdr:colOff>198120</xdr:colOff>
      <xdr:row>18</xdr:row>
      <xdr:rowOff>76200</xdr:rowOff>
    </xdr:from>
    <xdr:to>
      <xdr:col>19</xdr:col>
      <xdr:colOff>495300</xdr:colOff>
      <xdr:row>20</xdr:row>
      <xdr:rowOff>30480</xdr:rowOff>
    </xdr:to>
    <xdr:sp macro="[0]!digitaNovecentos" textlink="">
      <xdr:nvSpPr>
        <xdr:cNvPr id="15" name="Seta: Divisa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2390120" y="428244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53340</xdr:colOff>
      <xdr:row>21</xdr:row>
      <xdr:rowOff>160020</xdr:rowOff>
    </xdr:from>
    <xdr:to>
      <xdr:col>20</xdr:col>
      <xdr:colOff>15240</xdr:colOff>
      <xdr:row>24</xdr:row>
      <xdr:rowOff>121920</xdr:rowOff>
    </xdr:to>
    <xdr:sp macro="[0]!digita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416540" y="491490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R$ 1.000,00</a:t>
          </a:r>
        </a:p>
      </xdr:txBody>
    </xdr:sp>
    <xdr:clientData/>
  </xdr:twoCellAnchor>
  <xdr:twoCellAnchor>
    <xdr:from>
      <xdr:col>19</xdr:col>
      <xdr:colOff>198120</xdr:colOff>
      <xdr:row>22</xdr:row>
      <xdr:rowOff>76200</xdr:rowOff>
    </xdr:from>
    <xdr:to>
      <xdr:col>19</xdr:col>
      <xdr:colOff>495300</xdr:colOff>
      <xdr:row>24</xdr:row>
      <xdr:rowOff>30480</xdr:rowOff>
    </xdr:to>
    <xdr:sp macro="[0]!digitaMil" textlink="">
      <xdr:nvSpPr>
        <xdr:cNvPr id="17" name="Seta: Divisa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2390120" y="501396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10</xdr:row>
          <xdr:rowOff>137160</xdr:rowOff>
        </xdr:from>
        <xdr:to>
          <xdr:col>13</xdr:col>
          <xdr:colOff>182880</xdr:colOff>
          <xdr:row>11</xdr:row>
          <xdr:rowOff>457200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198120</xdr:colOff>
      <xdr:row>11</xdr:row>
      <xdr:rowOff>76200</xdr:rowOff>
    </xdr:from>
    <xdr:to>
      <xdr:col>19</xdr:col>
      <xdr:colOff>495300</xdr:colOff>
      <xdr:row>11</xdr:row>
      <xdr:rowOff>396240</xdr:rowOff>
    </xdr:to>
    <xdr:sp macro="[0]!digitaTrezentos" textlink="">
      <xdr:nvSpPr>
        <xdr:cNvPr id="19" name="Seta: Divisa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12390120" y="257556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53340</xdr:colOff>
      <xdr:row>4</xdr:row>
      <xdr:rowOff>0</xdr:rowOff>
    </xdr:from>
    <xdr:to>
      <xdr:col>5</xdr:col>
      <xdr:colOff>15240</xdr:colOff>
      <xdr:row>5</xdr:row>
      <xdr:rowOff>83820</xdr:rowOff>
    </xdr:to>
    <xdr:sp macro="[0]!voltarParaTelaPrincipa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662940" y="731520"/>
          <a:ext cx="240030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1</xdr:col>
      <xdr:colOff>205740</xdr:colOff>
      <xdr:row>4</xdr:row>
      <xdr:rowOff>60960</xdr:rowOff>
    </xdr:from>
    <xdr:to>
      <xdr:col>1</xdr:col>
      <xdr:colOff>510540</xdr:colOff>
      <xdr:row>5</xdr:row>
      <xdr:rowOff>22860</xdr:rowOff>
    </xdr:to>
    <xdr:sp macro="[0]!voltarParaTelaPrincipal" textlink="">
      <xdr:nvSpPr>
        <xdr:cNvPr id="21" name="Seta: Divisa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0800000">
          <a:off x="815340" y="79248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426720</xdr:colOff>
      <xdr:row>4</xdr:row>
      <xdr:rowOff>15240</xdr:rowOff>
    </xdr:from>
    <xdr:to>
      <xdr:col>20</xdr:col>
      <xdr:colOff>388620</xdr:colOff>
      <xdr:row>5</xdr:row>
      <xdr:rowOff>99060</xdr:rowOff>
    </xdr:to>
    <xdr:sp macro="[0]!sacarDinheiro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0789920" y="746760"/>
          <a:ext cx="240030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SACAR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5</xdr:col>
      <xdr:colOff>571500</xdr:colOff>
      <xdr:row>12</xdr:row>
      <xdr:rowOff>45720</xdr:rowOff>
    </xdr:to>
    <xdr:sp macro="[0]!digita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379220" y="2644140"/>
          <a:ext cx="265176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152400</xdr:colOff>
      <xdr:row>11</xdr:row>
      <xdr:rowOff>60960</xdr:rowOff>
    </xdr:from>
    <xdr:to>
      <xdr:col>2</xdr:col>
      <xdr:colOff>457200</xdr:colOff>
      <xdr:row>11</xdr:row>
      <xdr:rowOff>449580</xdr:rowOff>
    </xdr:to>
    <xdr:sp macro="[0]!digitaVinte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0800000">
          <a:off x="1531620" y="270510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571500</xdr:colOff>
      <xdr:row>16</xdr:row>
      <xdr:rowOff>144780</xdr:rowOff>
    </xdr:to>
    <xdr:sp macro="[0]!digita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379220" y="3619500"/>
          <a:ext cx="265176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152400</xdr:colOff>
      <xdr:row>14</xdr:row>
      <xdr:rowOff>83820</xdr:rowOff>
    </xdr:from>
    <xdr:to>
      <xdr:col>2</xdr:col>
      <xdr:colOff>449580</xdr:colOff>
      <xdr:row>16</xdr:row>
      <xdr:rowOff>38100</xdr:rowOff>
    </xdr:to>
    <xdr:sp macro="[0]!digitaQuarenta" textlink="">
      <xdr:nvSpPr>
        <xdr:cNvPr id="5" name="Seta: Divisa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rot="10800000">
          <a:off x="1531620" y="370332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571500</xdr:colOff>
      <xdr:row>20</xdr:row>
      <xdr:rowOff>144780</xdr:rowOff>
    </xdr:to>
    <xdr:sp macro="[0]!digita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9220" y="4351020"/>
          <a:ext cx="265176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152400</xdr:colOff>
      <xdr:row>18</xdr:row>
      <xdr:rowOff>83820</xdr:rowOff>
    </xdr:from>
    <xdr:to>
      <xdr:col>2</xdr:col>
      <xdr:colOff>449580</xdr:colOff>
      <xdr:row>20</xdr:row>
      <xdr:rowOff>38100</xdr:rowOff>
    </xdr:to>
    <xdr:sp macro="[0]!digitaCinquenta" textlink="">
      <xdr:nvSpPr>
        <xdr:cNvPr id="7" name="Seta: Divisa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 rot="10800000">
          <a:off x="1531620" y="443484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5</xdr:col>
      <xdr:colOff>571500</xdr:colOff>
      <xdr:row>24</xdr:row>
      <xdr:rowOff>144780</xdr:rowOff>
    </xdr:to>
    <xdr:sp macro="[0]!digita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379220" y="5082540"/>
          <a:ext cx="265176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152400</xdr:colOff>
      <xdr:row>22</xdr:row>
      <xdr:rowOff>83820</xdr:rowOff>
    </xdr:from>
    <xdr:to>
      <xdr:col>2</xdr:col>
      <xdr:colOff>449580</xdr:colOff>
      <xdr:row>24</xdr:row>
      <xdr:rowOff>38100</xdr:rowOff>
    </xdr:to>
    <xdr:sp macro="[0]!digitaCem" textlink="">
      <xdr:nvSpPr>
        <xdr:cNvPr id="9" name="Seta: Divisa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 rot="10800000">
          <a:off x="1531620" y="516636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53340</xdr:colOff>
      <xdr:row>10</xdr:row>
      <xdr:rowOff>160020</xdr:rowOff>
    </xdr:from>
    <xdr:to>
      <xdr:col>17</xdr:col>
      <xdr:colOff>15240</xdr:colOff>
      <xdr:row>12</xdr:row>
      <xdr:rowOff>30480</xdr:rowOff>
    </xdr:to>
    <xdr:sp macro="[0]!digitaTre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3121640" y="2621280"/>
          <a:ext cx="2400300" cy="51816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R$ 300,00</a:t>
          </a:r>
        </a:p>
      </xdr:txBody>
    </xdr:sp>
    <xdr:clientData/>
  </xdr:twoCellAnchor>
  <xdr:twoCellAnchor>
    <xdr:from>
      <xdr:col>13</xdr:col>
      <xdr:colOff>53340</xdr:colOff>
      <xdr:row>13</xdr:row>
      <xdr:rowOff>304800</xdr:rowOff>
    </xdr:from>
    <xdr:to>
      <xdr:col>17</xdr:col>
      <xdr:colOff>15240</xdr:colOff>
      <xdr:row>16</xdr:row>
      <xdr:rowOff>121920</xdr:rowOff>
    </xdr:to>
    <xdr:sp macro="[0]!digitaQuinhe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3121640" y="359664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R$ 500,00</a:t>
          </a:r>
        </a:p>
      </xdr:txBody>
    </xdr:sp>
    <xdr:clientData/>
  </xdr:twoCellAnchor>
  <xdr:twoCellAnchor>
    <xdr:from>
      <xdr:col>16</xdr:col>
      <xdr:colOff>198120</xdr:colOff>
      <xdr:row>14</xdr:row>
      <xdr:rowOff>76200</xdr:rowOff>
    </xdr:from>
    <xdr:to>
      <xdr:col>16</xdr:col>
      <xdr:colOff>495300</xdr:colOff>
      <xdr:row>16</xdr:row>
      <xdr:rowOff>30480</xdr:rowOff>
    </xdr:to>
    <xdr:sp macro="[0]!digitaQuinhentos" textlink="">
      <xdr:nvSpPr>
        <xdr:cNvPr id="12" name="Seta: Divisa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5095220" y="369570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53340</xdr:colOff>
      <xdr:row>17</xdr:row>
      <xdr:rowOff>160020</xdr:rowOff>
    </xdr:from>
    <xdr:to>
      <xdr:col>17</xdr:col>
      <xdr:colOff>15240</xdr:colOff>
      <xdr:row>20</xdr:row>
      <xdr:rowOff>121920</xdr:rowOff>
    </xdr:to>
    <xdr:sp macro="[0]!digitaNovece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3121640" y="432816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R$ 900,00</a:t>
          </a:r>
        </a:p>
      </xdr:txBody>
    </xdr:sp>
    <xdr:clientData/>
  </xdr:twoCellAnchor>
  <xdr:twoCellAnchor>
    <xdr:from>
      <xdr:col>16</xdr:col>
      <xdr:colOff>198120</xdr:colOff>
      <xdr:row>18</xdr:row>
      <xdr:rowOff>76200</xdr:rowOff>
    </xdr:from>
    <xdr:to>
      <xdr:col>16</xdr:col>
      <xdr:colOff>495300</xdr:colOff>
      <xdr:row>20</xdr:row>
      <xdr:rowOff>30480</xdr:rowOff>
    </xdr:to>
    <xdr:sp macro="[0]!digitaNovecentos" textlink="">
      <xdr:nvSpPr>
        <xdr:cNvPr id="14" name="Seta: Divisa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5095220" y="442722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53340</xdr:colOff>
      <xdr:row>21</xdr:row>
      <xdr:rowOff>160020</xdr:rowOff>
    </xdr:from>
    <xdr:to>
      <xdr:col>17</xdr:col>
      <xdr:colOff>15240</xdr:colOff>
      <xdr:row>24</xdr:row>
      <xdr:rowOff>121920</xdr:rowOff>
    </xdr:to>
    <xdr:sp macro="[0]!digitaMil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3121640" y="5059680"/>
          <a:ext cx="2400300" cy="510540"/>
        </a:xfrm>
        <a:prstGeom prst="roundRect">
          <a:avLst/>
        </a:prstGeom>
        <a:solidFill>
          <a:srgbClr val="E1DD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</a:rPr>
            <a:t>R$ 1.000,00</a:t>
          </a:r>
        </a:p>
      </xdr:txBody>
    </xdr:sp>
    <xdr:clientData/>
  </xdr:twoCellAnchor>
  <xdr:twoCellAnchor>
    <xdr:from>
      <xdr:col>16</xdr:col>
      <xdr:colOff>198120</xdr:colOff>
      <xdr:row>22</xdr:row>
      <xdr:rowOff>76200</xdr:rowOff>
    </xdr:from>
    <xdr:to>
      <xdr:col>16</xdr:col>
      <xdr:colOff>495300</xdr:colOff>
      <xdr:row>24</xdr:row>
      <xdr:rowOff>30480</xdr:rowOff>
    </xdr:to>
    <xdr:sp macro="[0]!digitaMil" textlink="">
      <xdr:nvSpPr>
        <xdr:cNvPr id="16" name="Seta: Divisa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5095220" y="515874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198120</xdr:colOff>
      <xdr:row>11</xdr:row>
      <xdr:rowOff>76200</xdr:rowOff>
    </xdr:from>
    <xdr:to>
      <xdr:col>16</xdr:col>
      <xdr:colOff>495300</xdr:colOff>
      <xdr:row>11</xdr:row>
      <xdr:rowOff>396240</xdr:rowOff>
    </xdr:to>
    <xdr:sp macro="[0]!digitaTrezentos" textlink="">
      <xdr:nvSpPr>
        <xdr:cNvPr id="17" name="Seta: Divisa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5095220" y="2720340"/>
          <a:ext cx="297180" cy="3200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53340</xdr:colOff>
      <xdr:row>4</xdr:row>
      <xdr:rowOff>0</xdr:rowOff>
    </xdr:from>
    <xdr:to>
      <xdr:col>5</xdr:col>
      <xdr:colOff>15240</xdr:colOff>
      <xdr:row>5</xdr:row>
      <xdr:rowOff>83820</xdr:rowOff>
    </xdr:to>
    <xdr:sp macro="[0]!voltarParaTel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662940" y="876300"/>
          <a:ext cx="281178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1</xdr:col>
      <xdr:colOff>205740</xdr:colOff>
      <xdr:row>4</xdr:row>
      <xdr:rowOff>60960</xdr:rowOff>
    </xdr:from>
    <xdr:to>
      <xdr:col>1</xdr:col>
      <xdr:colOff>510540</xdr:colOff>
      <xdr:row>5</xdr:row>
      <xdr:rowOff>22860</xdr:rowOff>
    </xdr:to>
    <xdr:sp macro="[0]!voltarParaTel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 rot="10800000">
          <a:off x="815340" y="93726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426720</xdr:colOff>
      <xdr:row>4</xdr:row>
      <xdr:rowOff>15240</xdr:rowOff>
    </xdr:from>
    <xdr:to>
      <xdr:col>17</xdr:col>
      <xdr:colOff>388620</xdr:colOff>
      <xdr:row>5</xdr:row>
      <xdr:rowOff>99060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3495020" y="891540"/>
          <a:ext cx="240030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1615440</xdr:colOff>
          <xdr:row>10</xdr:row>
          <xdr:rowOff>137160</xdr:rowOff>
        </xdr:from>
        <xdr:to>
          <xdr:col>9</xdr:col>
          <xdr:colOff>579120</xdr:colOff>
          <xdr:row>11</xdr:row>
          <xdr:rowOff>457200</xdr:rowOff>
        </xdr:to>
        <xdr:sp macro="" textlink="">
          <xdr:nvSpPr>
            <xdr:cNvPr id="8193" name="txtValo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9</xdr:row>
      <xdr:rowOff>83820</xdr:rowOff>
    </xdr:from>
    <xdr:to>
      <xdr:col>16</xdr:col>
      <xdr:colOff>289560</xdr:colOff>
      <xdr:row>33</xdr:row>
      <xdr:rowOff>144780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2964180" y="1973580"/>
          <a:ext cx="7078980" cy="4472940"/>
        </a:xfrm>
        <a:prstGeom prst="roundRect">
          <a:avLst>
            <a:gd name="adj" fmla="val 3719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 w="762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571500</xdr:colOff>
      <xdr:row>5</xdr:row>
      <xdr:rowOff>144780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09600" y="548640"/>
          <a:ext cx="2400300" cy="51054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>
    <xdr:from>
      <xdr:col>1</xdr:col>
      <xdr:colOff>152400</xdr:colOff>
      <xdr:row>3</xdr:row>
      <xdr:rowOff>60960</xdr:rowOff>
    </xdr:from>
    <xdr:to>
      <xdr:col>1</xdr:col>
      <xdr:colOff>457200</xdr:colOff>
      <xdr:row>5</xdr:row>
      <xdr:rowOff>83820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0800000">
          <a:off x="762000" y="609600"/>
          <a:ext cx="304800" cy="38862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106680</xdr:colOff>
      <xdr:row>11</xdr:row>
      <xdr:rowOff>32512</xdr:rowOff>
    </xdr:from>
    <xdr:to>
      <xdr:col>7</xdr:col>
      <xdr:colOff>240983</xdr:colOff>
      <xdr:row>15</xdr:row>
      <xdr:rowOff>22860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680" y="2288032"/>
          <a:ext cx="1353503" cy="721868"/>
        </a:xfrm>
        <a:prstGeom prst="rect">
          <a:avLst/>
        </a:prstGeom>
      </xdr:spPr>
    </xdr:pic>
    <xdr:clientData/>
  </xdr:twoCellAnchor>
  <xdr:twoCellAnchor editAs="oneCell">
    <xdr:from>
      <xdr:col>5</xdr:col>
      <xdr:colOff>99060</xdr:colOff>
      <xdr:row>16</xdr:row>
      <xdr:rowOff>137159</xdr:rowOff>
    </xdr:from>
    <xdr:to>
      <xdr:col>7</xdr:col>
      <xdr:colOff>411480</xdr:colOff>
      <xdr:row>20</xdr:row>
      <xdr:rowOff>104778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060" y="3314699"/>
          <a:ext cx="1531620" cy="699139"/>
        </a:xfrm>
        <a:prstGeom prst="rect">
          <a:avLst/>
        </a:prstGeom>
      </xdr:spPr>
    </xdr:pic>
    <xdr:clientData/>
  </xdr:twoCellAnchor>
  <xdr:twoCellAnchor editAs="oneCell">
    <xdr:from>
      <xdr:col>5</xdr:col>
      <xdr:colOff>60961</xdr:colOff>
      <xdr:row>22</xdr:row>
      <xdr:rowOff>129540</xdr:rowOff>
    </xdr:from>
    <xdr:to>
      <xdr:col>7</xdr:col>
      <xdr:colOff>511623</xdr:colOff>
      <xdr:row>26</xdr:row>
      <xdr:rowOff>158115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8961" y="4411980"/>
          <a:ext cx="1669862" cy="760095"/>
        </a:xfrm>
        <a:prstGeom prst="rect">
          <a:avLst/>
        </a:prstGeom>
      </xdr:spPr>
    </xdr:pic>
    <xdr:clientData/>
  </xdr:twoCellAnchor>
  <xdr:twoCellAnchor editAs="oneCell">
    <xdr:from>
      <xdr:col>5</xdr:col>
      <xdr:colOff>106680</xdr:colOff>
      <xdr:row>28</xdr:row>
      <xdr:rowOff>115062</xdr:rowOff>
    </xdr:from>
    <xdr:to>
      <xdr:col>7</xdr:col>
      <xdr:colOff>502920</xdr:colOff>
      <xdr:row>32</xdr:row>
      <xdr:rowOff>126644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680" y="5502402"/>
          <a:ext cx="1615440" cy="74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B950-021E-41B1-B675-B06017506A58}">
  <sheetPr codeName="Planilha1"/>
  <dimension ref="D2:K19"/>
  <sheetViews>
    <sheetView showGridLines="0" showRowColHeaders="0" workbookViewId="0">
      <selection activeCell="D2" sqref="D2"/>
    </sheetView>
  </sheetViews>
  <sheetFormatPr defaultRowHeight="14.4" x14ac:dyDescent="0.3"/>
  <sheetData>
    <row r="2" spans="4:11" x14ac:dyDescent="0.3">
      <c r="D2">
        <f>C2-SUMIFS(Transações!E:E,
Transações!B:B,Contas!A2,
Transações!D:D,"D")
+
SUMIFS(Transações!E:E,
Transações!B:B,Contas!A2,
Transações!D:D,"C")</f>
        <v>1550</v>
      </c>
    </row>
    <row r="3" spans="4:11" x14ac:dyDescent="0.3">
      <c r="D3" s="16" t="s">
        <v>0</v>
      </c>
      <c r="E3" s="16"/>
      <c r="F3" s="16"/>
      <c r="G3" s="16"/>
      <c r="H3" s="16"/>
      <c r="I3" s="16"/>
      <c r="J3" s="16"/>
      <c r="K3" s="16"/>
    </row>
    <row r="4" spans="4:11" x14ac:dyDescent="0.3">
      <c r="D4" s="16"/>
      <c r="E4" s="16"/>
      <c r="F4" s="16"/>
      <c r="G4" s="16"/>
      <c r="H4" s="16"/>
      <c r="I4" s="16"/>
      <c r="J4" s="16"/>
      <c r="K4" s="16"/>
    </row>
    <row r="5" spans="4:11" x14ac:dyDescent="0.3">
      <c r="D5" s="16"/>
      <c r="E5" s="16"/>
      <c r="F5" s="16"/>
      <c r="G5" s="16"/>
      <c r="H5" s="16"/>
      <c r="I5" s="16"/>
      <c r="J5" s="16"/>
      <c r="K5" s="16"/>
    </row>
    <row r="10" spans="4:11" ht="33.6" x14ac:dyDescent="0.65">
      <c r="E10" s="2" t="s">
        <v>2</v>
      </c>
    </row>
    <row r="11" spans="4:11" ht="6" customHeight="1" x14ac:dyDescent="0.65">
      <c r="E11" s="1"/>
    </row>
    <row r="18" spans="5:5" ht="33.6" x14ac:dyDescent="0.65">
      <c r="E18" s="2" t="s">
        <v>3</v>
      </c>
    </row>
    <row r="19" spans="5:5" ht="6" customHeight="1" x14ac:dyDescent="0.65">
      <c r="E19" s="1"/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152400</xdr:colOff>
                <xdr:row>11</xdr:row>
                <xdr:rowOff>76200</xdr:rowOff>
              </from>
              <to>
                <xdr:col>10</xdr:col>
                <xdr:colOff>388620</xdr:colOff>
                <xdr:row>13</xdr:row>
                <xdr:rowOff>160020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6" r:id="rId6" name="txtSenha">
          <controlPr defaultSize="0" autoLine="0" r:id="rId7">
            <anchor moveWithCells="1">
              <from>
                <xdr:col>4</xdr:col>
                <xdr:colOff>190500</xdr:colOff>
                <xdr:row>19</xdr:row>
                <xdr:rowOff>83820</xdr:rowOff>
              </from>
              <to>
                <xdr:col>10</xdr:col>
                <xdr:colOff>426720</xdr:colOff>
                <xdr:row>21</xdr:row>
                <xdr:rowOff>167640</xdr:rowOff>
              </to>
            </anchor>
          </controlPr>
        </control>
      </mc:Choice>
      <mc:Fallback>
        <control shapeId="1026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r:id="rId9">
            <anchor moveWithCells="1">
              <from>
                <xdr:col>4</xdr:col>
                <xdr:colOff>76200</xdr:colOff>
                <xdr:row>23</xdr:row>
                <xdr:rowOff>60960</xdr:rowOff>
              </from>
              <to>
                <xdr:col>10</xdr:col>
                <xdr:colOff>579120</xdr:colOff>
                <xdr:row>27</xdr:row>
                <xdr:rowOff>68580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AC59D-EADB-44B2-9673-B41A8AFDC311}">
  <sheetPr codeName="Planilha2"/>
  <dimension ref="A1:K10"/>
  <sheetViews>
    <sheetView workbookViewId="0">
      <selection activeCell="D2" sqref="D2"/>
    </sheetView>
  </sheetViews>
  <sheetFormatPr defaultRowHeight="33.6" x14ac:dyDescent="0.65"/>
  <cols>
    <col min="1" max="1" width="17.109375" style="1" customWidth="1"/>
    <col min="2" max="2" width="19.5546875" style="1" customWidth="1"/>
    <col min="3" max="4" width="28.21875" style="1" bestFit="1" customWidth="1"/>
    <col min="5" max="5" width="18.77734375" style="1" bestFit="1" customWidth="1"/>
    <col min="6" max="6" width="15.21875" style="1" bestFit="1" customWidth="1"/>
    <col min="10" max="10" width="28.77734375" bestFit="1" customWidth="1"/>
    <col min="11" max="11" width="32.109375" customWidth="1"/>
  </cols>
  <sheetData>
    <row r="1" spans="1:11" x14ac:dyDescent="0.65">
      <c r="A1" s="5" t="s">
        <v>1</v>
      </c>
      <c r="B1" s="5" t="s">
        <v>4</v>
      </c>
      <c r="C1" s="5" t="s">
        <v>5</v>
      </c>
      <c r="D1" s="5" t="s">
        <v>6</v>
      </c>
      <c r="E1" s="5" t="s">
        <v>7</v>
      </c>
      <c r="F1" s="5" t="s">
        <v>8</v>
      </c>
      <c r="J1" s="5" t="s">
        <v>14</v>
      </c>
      <c r="K1" s="5" t="s">
        <v>15</v>
      </c>
    </row>
    <row r="2" spans="1:11" x14ac:dyDescent="0.65">
      <c r="A2" s="1">
        <v>98545</v>
      </c>
      <c r="B2" s="1" t="s">
        <v>9</v>
      </c>
      <c r="C2" s="4">
        <v>1000</v>
      </c>
      <c r="D2" s="4">
        <f>C2-SUMIFS(Transações!E:E,
Transações!B:B,Contas!A2,
Transações!D:D,"D")
+
SUMIFS(Transações!E:E,
Transações!B:B,Contas!A2,
Transações!D:D,"C")</f>
        <v>2550</v>
      </c>
      <c r="E2" s="1" t="s">
        <v>10</v>
      </c>
      <c r="F2" s="1" t="s">
        <v>11</v>
      </c>
      <c r="J2" s="1">
        <v>67899</v>
      </c>
      <c r="K2" s="4">
        <f>VLOOKUP(J2,A:D,4,0)</f>
        <v>1100</v>
      </c>
    </row>
    <row r="3" spans="1:11" x14ac:dyDescent="0.65">
      <c r="A3" s="1">
        <v>67899</v>
      </c>
      <c r="B3" s="1" t="s">
        <v>9</v>
      </c>
      <c r="C3" s="4">
        <v>1000</v>
      </c>
      <c r="D3" s="4">
        <f>C3-SUMIFS(Transações!E:E,
Transações!B:B,Contas!A3,
Transações!D:D,"D")
+
SUMIFS(Transações!E:E,
Transações!B:B,Contas!A3,
Transações!D:D,"C")</f>
        <v>1100</v>
      </c>
      <c r="E3" s="1" t="s">
        <v>12</v>
      </c>
      <c r="F3" s="1" t="s">
        <v>11</v>
      </c>
    </row>
    <row r="4" spans="1:11" x14ac:dyDescent="0.65">
      <c r="A4" s="1">
        <v>55598</v>
      </c>
      <c r="B4" s="1" t="s">
        <v>9</v>
      </c>
      <c r="C4" s="4">
        <v>1000</v>
      </c>
      <c r="D4" s="4">
        <f>C4-SUMIFS(Transações!E:E,
Transações!B:B,Contas!A4,
Transações!D:D,"D")
+
SUMIFS(Transações!E:E,
Transações!B:B,Contas!A4,
Transações!D:D,"C")</f>
        <v>700</v>
      </c>
      <c r="E4" s="1" t="s">
        <v>13</v>
      </c>
      <c r="F4" s="1" t="s">
        <v>11</v>
      </c>
    </row>
    <row r="5" spans="1:11" x14ac:dyDescent="0.65">
      <c r="C5" s="4"/>
      <c r="D5" s="4"/>
    </row>
    <row r="6" spans="1:11" x14ac:dyDescent="0.65">
      <c r="C6" s="4"/>
      <c r="D6" s="4"/>
    </row>
    <row r="7" spans="1:11" x14ac:dyDescent="0.65">
      <c r="C7" s="4"/>
      <c r="D7" s="4"/>
    </row>
    <row r="8" spans="1:11" x14ac:dyDescent="0.65">
      <c r="C8" s="4"/>
      <c r="D8" s="4"/>
    </row>
    <row r="9" spans="1:11" x14ac:dyDescent="0.65">
      <c r="C9" s="4"/>
      <c r="D9" s="4"/>
    </row>
    <row r="10" spans="1:11" x14ac:dyDescent="0.65">
      <c r="C10" s="4"/>
      <c r="D10" s="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E4732-4364-4D47-9FAA-CA2FA1A97C15}">
  <sheetPr codeName="Planilha3"/>
  <dimension ref="E5:P8"/>
  <sheetViews>
    <sheetView tabSelected="1" workbookViewId="0">
      <selection activeCell="D125" sqref="D125"/>
    </sheetView>
  </sheetViews>
  <sheetFormatPr defaultRowHeight="14.4" x14ac:dyDescent="0.3"/>
  <sheetData>
    <row r="5" spans="5:16" ht="33.6" x14ac:dyDescent="0.65">
      <c r="E5" s="17" t="s">
        <v>16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</row>
    <row r="7" spans="5:16" ht="33.6" x14ac:dyDescent="0.65">
      <c r="E7" s="17" t="s">
        <v>17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</row>
    <row r="8" spans="5:16" ht="33.6" x14ac:dyDescent="0.65"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</sheetData>
  <mergeCells count="2">
    <mergeCell ref="E5:P5"/>
    <mergeCell ref="E7:P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788B-683D-4F50-85D2-7C4AAAEF3BF0}">
  <sheetPr codeName="Planilha9"/>
  <dimension ref="B2:P9"/>
  <sheetViews>
    <sheetView showGridLines="0" showRowColHeaders="0" workbookViewId="0">
      <selection activeCell="B2" sqref="B2"/>
    </sheetView>
  </sheetViews>
  <sheetFormatPr defaultRowHeight="14.4" x14ac:dyDescent="0.3"/>
  <cols>
    <col min="2" max="2" width="11.21875" bestFit="1" customWidth="1"/>
    <col min="3" max="3" width="20.77734375" customWidth="1"/>
    <col min="5" max="5" width="10.5546875" bestFit="1" customWidth="1"/>
    <col min="6" max="6" width="18.5546875" customWidth="1"/>
    <col min="8" max="8" width="20.5546875" customWidth="1"/>
    <col min="9" max="9" width="24.109375" customWidth="1"/>
  </cols>
  <sheetData>
    <row r="2" spans="2:16" s="3" customFormat="1" ht="25.8" x14ac:dyDescent="0.5">
      <c r="B2" s="3" t="s">
        <v>2</v>
      </c>
      <c r="C2" s="3">
        <f>Contas!J2</f>
        <v>67899</v>
      </c>
      <c r="E2" s="3" t="s">
        <v>29</v>
      </c>
      <c r="F2" s="3">
        <f>VLOOKUP(C2,Contas!A:D,4,0)</f>
        <v>1100</v>
      </c>
      <c r="H2" s="3" t="s">
        <v>30</v>
      </c>
      <c r="I2" s="3" t="str">
        <f>VLOOKUP(C2,Contas!A:E,5,0)</f>
        <v>Amanda</v>
      </c>
    </row>
    <row r="5" spans="2:16" ht="33.6" x14ac:dyDescent="0.65"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9" spans="2:16" ht="33.6" x14ac:dyDescent="0.65">
      <c r="C9" s="13" t="s">
        <v>43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E6A13-5BB4-42D1-8794-FE6588965934}">
  <sheetPr codeName="Planilha10"/>
  <dimension ref="B3:G37"/>
  <sheetViews>
    <sheetView showGridLines="0" showRowColHeaders="0" workbookViewId="0">
      <selection activeCell="B9" sqref="B9:G1225"/>
    </sheetView>
  </sheetViews>
  <sheetFormatPr defaultRowHeight="14.4" x14ac:dyDescent="0.3"/>
  <cols>
    <col min="2" max="2" width="22.109375" customWidth="1"/>
    <col min="3" max="3" width="22.77734375" customWidth="1"/>
    <col min="4" max="4" width="27.5546875" customWidth="1"/>
    <col min="5" max="5" width="24.109375" customWidth="1"/>
    <col min="6" max="6" width="28.21875" bestFit="1" customWidth="1"/>
    <col min="7" max="7" width="43.5546875" customWidth="1"/>
  </cols>
  <sheetData>
    <row r="3" spans="2:7" ht="33.6" x14ac:dyDescent="0.65">
      <c r="B3" s="14" t="s">
        <v>44</v>
      </c>
      <c r="C3" s="14" t="s">
        <v>45</v>
      </c>
    </row>
    <row r="4" spans="2:7" ht="25.8" x14ac:dyDescent="0.5">
      <c r="B4" s="15"/>
      <c r="C4" s="15"/>
    </row>
    <row r="8" spans="2:7" ht="33.6" x14ac:dyDescent="0.65">
      <c r="B8" s="5" t="s">
        <v>1</v>
      </c>
      <c r="C8" s="5" t="s">
        <v>7</v>
      </c>
      <c r="D8" s="5" t="s">
        <v>25</v>
      </c>
      <c r="E8" s="5" t="s">
        <v>26</v>
      </c>
      <c r="F8" s="5" t="s">
        <v>27</v>
      </c>
      <c r="G8" s="5" t="s">
        <v>28</v>
      </c>
    </row>
    <row r="9" spans="2:7" ht="25.8" x14ac:dyDescent="0.5">
      <c r="B9" s="3">
        <v>67899</v>
      </c>
      <c r="C9" s="3" t="s">
        <v>12</v>
      </c>
      <c r="D9" s="3" t="s">
        <v>31</v>
      </c>
      <c r="E9" s="3">
        <v>200</v>
      </c>
      <c r="F9" s="10">
        <v>44830</v>
      </c>
      <c r="G9" s="11" t="s">
        <v>32</v>
      </c>
    </row>
    <row r="10" spans="2:7" ht="25.8" x14ac:dyDescent="0.5">
      <c r="B10" s="3">
        <v>67899</v>
      </c>
      <c r="C10" s="3" t="s">
        <v>12</v>
      </c>
      <c r="D10" s="3" t="s">
        <v>31</v>
      </c>
      <c r="E10" s="3">
        <v>439</v>
      </c>
      <c r="F10" s="12">
        <v>44895</v>
      </c>
      <c r="G10" s="3" t="s">
        <v>32</v>
      </c>
    </row>
    <row r="11" spans="2:7" ht="25.8" x14ac:dyDescent="0.5">
      <c r="B11" s="3">
        <v>67899</v>
      </c>
      <c r="C11" s="3" t="s">
        <v>12</v>
      </c>
      <c r="D11" s="3" t="s">
        <v>31</v>
      </c>
      <c r="E11" s="3">
        <v>60</v>
      </c>
      <c r="F11" s="12">
        <v>44870</v>
      </c>
      <c r="G11" s="3" t="s">
        <v>32</v>
      </c>
    </row>
    <row r="12" spans="2:7" ht="25.8" x14ac:dyDescent="0.5">
      <c r="B12" s="3">
        <v>67899</v>
      </c>
      <c r="C12" s="3" t="s">
        <v>12</v>
      </c>
      <c r="D12" s="3" t="s">
        <v>31</v>
      </c>
      <c r="E12" s="3">
        <v>50</v>
      </c>
      <c r="F12" s="12">
        <v>44896</v>
      </c>
      <c r="G12" s="3" t="s">
        <v>32</v>
      </c>
    </row>
    <row r="13" spans="2:7" ht="25.8" x14ac:dyDescent="0.5">
      <c r="B13" s="3">
        <v>67899</v>
      </c>
      <c r="C13" s="3" t="s">
        <v>12</v>
      </c>
      <c r="D13" s="3" t="s">
        <v>34</v>
      </c>
      <c r="E13" s="3">
        <v>500</v>
      </c>
      <c r="F13" s="12">
        <v>44910</v>
      </c>
      <c r="G13" s="3" t="s">
        <v>35</v>
      </c>
    </row>
    <row r="14" spans="2:7" ht="25.8" x14ac:dyDescent="0.5">
      <c r="B14" s="3">
        <v>67899</v>
      </c>
      <c r="C14" s="3" t="s">
        <v>12</v>
      </c>
      <c r="D14" s="3" t="s">
        <v>34</v>
      </c>
      <c r="E14" s="3">
        <v>200</v>
      </c>
      <c r="F14" s="12">
        <v>44930</v>
      </c>
      <c r="G14" s="3" t="s">
        <v>35</v>
      </c>
    </row>
    <row r="15" spans="2:7" ht="25.8" x14ac:dyDescent="0.5">
      <c r="B15" s="3">
        <v>67899</v>
      </c>
      <c r="C15" s="3" t="s">
        <v>12</v>
      </c>
      <c r="D15" s="3" t="s">
        <v>34</v>
      </c>
      <c r="E15" s="3">
        <v>49</v>
      </c>
      <c r="F15" s="12">
        <v>44950</v>
      </c>
      <c r="G15" s="3" t="s">
        <v>35</v>
      </c>
    </row>
    <row r="16" spans="2:7" ht="25.8" x14ac:dyDescent="0.5">
      <c r="B16" s="3">
        <v>67899</v>
      </c>
      <c r="C16" s="3" t="s">
        <v>12</v>
      </c>
      <c r="D16" s="3" t="s">
        <v>31</v>
      </c>
      <c r="E16" s="3">
        <v>200</v>
      </c>
      <c r="F16" s="12">
        <v>44970</v>
      </c>
      <c r="G16" s="3" t="s">
        <v>40</v>
      </c>
    </row>
    <row r="17" spans="2:7" ht="25.8" x14ac:dyDescent="0.5">
      <c r="B17" s="3">
        <v>67899</v>
      </c>
      <c r="C17" s="3" t="s">
        <v>12</v>
      </c>
      <c r="D17" s="3" t="s">
        <v>31</v>
      </c>
      <c r="E17" s="3">
        <v>100</v>
      </c>
      <c r="F17" s="12">
        <v>44990</v>
      </c>
      <c r="G17" s="3" t="s">
        <v>41</v>
      </c>
    </row>
    <row r="18" spans="2:7" ht="25.8" x14ac:dyDescent="0.5">
      <c r="B18" s="3">
        <v>67899</v>
      </c>
      <c r="C18" s="3" t="s">
        <v>12</v>
      </c>
      <c r="D18" s="3" t="s">
        <v>31</v>
      </c>
      <c r="E18" s="3">
        <v>100</v>
      </c>
      <c r="F18" s="12">
        <v>45010</v>
      </c>
      <c r="G18" s="3" t="s">
        <v>42</v>
      </c>
    </row>
    <row r="19" spans="2:7" ht="25.8" x14ac:dyDescent="0.5">
      <c r="B19" s="3">
        <v>67899</v>
      </c>
      <c r="C19" s="3" t="s">
        <v>12</v>
      </c>
      <c r="D19" s="3" t="s">
        <v>31</v>
      </c>
      <c r="E19" s="3">
        <v>120</v>
      </c>
      <c r="F19" s="3">
        <v>44923</v>
      </c>
      <c r="G19" s="3" t="s">
        <v>48</v>
      </c>
    </row>
    <row r="20" spans="2:7" ht="25.8" x14ac:dyDescent="0.5">
      <c r="B20" s="3">
        <v>67899</v>
      </c>
      <c r="C20" s="3" t="s">
        <v>12</v>
      </c>
      <c r="D20" s="3" t="s">
        <v>31</v>
      </c>
      <c r="E20" s="3">
        <v>180</v>
      </c>
      <c r="F20" s="3">
        <v>44923</v>
      </c>
      <c r="G20" s="3" t="s">
        <v>32</v>
      </c>
    </row>
    <row r="21" spans="2:7" ht="25.8" x14ac:dyDescent="0.5">
      <c r="B21" s="3">
        <v>67899</v>
      </c>
      <c r="C21" s="3" t="s">
        <v>12</v>
      </c>
      <c r="D21" s="3" t="s">
        <v>31</v>
      </c>
      <c r="E21" s="3">
        <v>139</v>
      </c>
      <c r="F21" s="3">
        <v>44923</v>
      </c>
      <c r="G21" s="3" t="s">
        <v>32</v>
      </c>
    </row>
    <row r="22" spans="2:7" ht="25.8" x14ac:dyDescent="0.5">
      <c r="B22" s="3">
        <v>67899</v>
      </c>
      <c r="C22" s="3" t="s">
        <v>12</v>
      </c>
      <c r="D22" s="3" t="s">
        <v>34</v>
      </c>
      <c r="E22" s="3">
        <v>839</v>
      </c>
      <c r="F22" s="3">
        <v>44923</v>
      </c>
      <c r="G22" s="3" t="s">
        <v>35</v>
      </c>
    </row>
    <row r="23" spans="2:7" ht="25.8" x14ac:dyDescent="0.5">
      <c r="B23" s="3">
        <v>67899</v>
      </c>
      <c r="C23" s="3" t="s">
        <v>12</v>
      </c>
      <c r="D23" s="3" t="s">
        <v>31</v>
      </c>
      <c r="E23" s="3">
        <v>200</v>
      </c>
      <c r="F23" s="3">
        <v>44925</v>
      </c>
      <c r="G23" s="3" t="s">
        <v>32</v>
      </c>
    </row>
    <row r="24" spans="2:7" ht="25.8" x14ac:dyDescent="0.5">
      <c r="B24" s="3">
        <v>67899</v>
      </c>
      <c r="C24" s="3" t="s">
        <v>12</v>
      </c>
      <c r="D24" s="3" t="s">
        <v>31</v>
      </c>
      <c r="E24" s="3">
        <v>100</v>
      </c>
      <c r="F24" s="3">
        <v>44925</v>
      </c>
      <c r="G24" s="3" t="s">
        <v>49</v>
      </c>
    </row>
    <row r="25" spans="2:7" ht="25.8" x14ac:dyDescent="0.5">
      <c r="B25" s="3">
        <v>67899</v>
      </c>
      <c r="C25" s="3" t="s">
        <v>12</v>
      </c>
      <c r="D25" s="3" t="s">
        <v>34</v>
      </c>
      <c r="E25" s="3">
        <v>400</v>
      </c>
      <c r="F25" s="3">
        <v>44925</v>
      </c>
      <c r="G25" s="3" t="s">
        <v>35</v>
      </c>
    </row>
    <row r="26" spans="2:7" ht="25.8" x14ac:dyDescent="0.5">
      <c r="B26" s="3"/>
      <c r="C26" s="3"/>
      <c r="D26" s="3"/>
      <c r="E26" s="3"/>
      <c r="F26" s="3"/>
      <c r="G26" s="3"/>
    </row>
    <row r="27" spans="2:7" ht="25.8" x14ac:dyDescent="0.5">
      <c r="B27" s="3"/>
      <c r="C27" s="3"/>
      <c r="D27" s="3"/>
      <c r="E27" s="3"/>
      <c r="F27" s="3"/>
      <c r="G27" s="3"/>
    </row>
    <row r="28" spans="2:7" ht="25.8" x14ac:dyDescent="0.5">
      <c r="B28" s="3"/>
      <c r="C28" s="3"/>
      <c r="D28" s="3"/>
      <c r="E28" s="3"/>
      <c r="F28" s="3"/>
      <c r="G28" s="3"/>
    </row>
    <row r="29" spans="2:7" ht="25.8" x14ac:dyDescent="0.5">
      <c r="B29" s="3"/>
      <c r="C29" s="3"/>
      <c r="D29" s="3"/>
      <c r="E29" s="3"/>
      <c r="F29" s="3"/>
      <c r="G29" s="3"/>
    </row>
    <row r="30" spans="2:7" ht="25.8" x14ac:dyDescent="0.5">
      <c r="B30" s="3"/>
      <c r="C30" s="3"/>
      <c r="D30" s="3"/>
      <c r="E30" s="3"/>
      <c r="F30" s="3"/>
      <c r="G30" s="3"/>
    </row>
    <row r="31" spans="2:7" ht="25.8" x14ac:dyDescent="0.5">
      <c r="B31" s="3"/>
      <c r="C31" s="3"/>
      <c r="D31" s="3"/>
      <c r="E31" s="3"/>
      <c r="F31" s="3"/>
      <c r="G31" s="3"/>
    </row>
    <row r="32" spans="2:7" ht="25.8" x14ac:dyDescent="0.5">
      <c r="B32" s="3"/>
      <c r="C32" s="3"/>
      <c r="D32" s="3"/>
      <c r="E32" s="3"/>
      <c r="F32" s="3"/>
      <c r="G32" s="3"/>
    </row>
    <row r="33" spans="2:7" ht="25.8" x14ac:dyDescent="0.5">
      <c r="B33" s="3"/>
      <c r="C33" s="3"/>
      <c r="D33" s="3"/>
      <c r="E33" s="3"/>
      <c r="F33" s="3"/>
      <c r="G33" s="3"/>
    </row>
    <row r="34" spans="2:7" ht="25.8" x14ac:dyDescent="0.5">
      <c r="B34" s="3"/>
      <c r="C34" s="3"/>
      <c r="D34" s="3"/>
      <c r="E34" s="3"/>
      <c r="F34" s="3"/>
      <c r="G34" s="3"/>
    </row>
    <row r="35" spans="2:7" ht="25.8" x14ac:dyDescent="0.5">
      <c r="B35" s="3"/>
      <c r="C35" s="3"/>
      <c r="D35" s="3"/>
      <c r="E35" s="3"/>
      <c r="F35" s="3"/>
      <c r="G35" s="3"/>
    </row>
    <row r="36" spans="2:7" ht="25.8" x14ac:dyDescent="0.5">
      <c r="B36" s="3"/>
      <c r="C36" s="3"/>
      <c r="D36" s="3"/>
      <c r="E36" s="3"/>
      <c r="F36" s="3"/>
      <c r="G36" s="3"/>
    </row>
    <row r="37" spans="2:7" ht="25.8" x14ac:dyDescent="0.5">
      <c r="B37" s="3"/>
      <c r="C37" s="3"/>
      <c r="D37" s="3"/>
      <c r="E37" s="3"/>
      <c r="F37" s="3"/>
      <c r="G37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F57D0-91CC-486D-824B-920B7C4209F2}">
  <sheetPr codeName="Planilha8"/>
  <dimension ref="B2:P21"/>
  <sheetViews>
    <sheetView showGridLines="0" showRowColHeaders="0" workbookViewId="0">
      <selection activeCell="B2" sqref="B2"/>
    </sheetView>
  </sheetViews>
  <sheetFormatPr defaultRowHeight="14.4" x14ac:dyDescent="0.3"/>
  <cols>
    <col min="2" max="2" width="11.21875" bestFit="1" customWidth="1"/>
    <col min="3" max="3" width="16.6640625" customWidth="1"/>
    <col min="5" max="5" width="10.5546875" bestFit="1" customWidth="1"/>
    <col min="8" max="8" width="14.77734375" customWidth="1"/>
    <col min="9" max="9" width="19" customWidth="1"/>
  </cols>
  <sheetData>
    <row r="2" spans="2:16" s="3" customFormat="1" ht="25.8" x14ac:dyDescent="0.5">
      <c r="B2" s="3" t="s">
        <v>2</v>
      </c>
      <c r="C2" s="3">
        <f>Contas!J2</f>
        <v>67899</v>
      </c>
      <c r="E2" s="3" t="s">
        <v>29</v>
      </c>
      <c r="F2" s="3">
        <f>VLOOKUP(C2,Contas!A:D,4,0)</f>
        <v>1100</v>
      </c>
      <c r="H2" s="3" t="s">
        <v>30</v>
      </c>
      <c r="I2" s="3" t="str">
        <f>VLOOKUP(C2,Contas!A:E,5,0)</f>
        <v>Amanda</v>
      </c>
    </row>
    <row r="5" spans="2:16" ht="33.6" x14ac:dyDescent="0.65"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9" spans="2:16" ht="33.6" x14ac:dyDescent="0.65">
      <c r="E9" s="17" t="s">
        <v>36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</row>
    <row r="15" spans="2:16" ht="31.2" x14ac:dyDescent="0.6">
      <c r="D15" s="9" t="s">
        <v>37</v>
      </c>
    </row>
    <row r="18" spans="4:4" ht="31.2" x14ac:dyDescent="0.6">
      <c r="D18" s="9" t="s">
        <v>38</v>
      </c>
    </row>
    <row r="21" spans="4:4" ht="31.2" x14ac:dyDescent="0.6">
      <c r="D21" s="9" t="s">
        <v>39</v>
      </c>
    </row>
  </sheetData>
  <mergeCells count="1">
    <mergeCell ref="E9:P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txtCodigoDeBarras">
          <controlPr defaultSize="0" autoLine="0" r:id="rId5">
            <anchor moveWithCells="1">
              <from>
                <xdr:col>4</xdr:col>
                <xdr:colOff>533400</xdr:colOff>
                <xdr:row>13</xdr:row>
                <xdr:rowOff>106680</xdr:rowOff>
              </from>
              <to>
                <xdr:col>13</xdr:col>
                <xdr:colOff>175260</xdr:colOff>
                <xdr:row>14</xdr:row>
                <xdr:rowOff>388620</xdr:rowOff>
              </to>
            </anchor>
          </controlPr>
        </control>
      </mc:Choice>
      <mc:Fallback>
        <control shapeId="10241" r:id="rId4" name="txtCodigoDeBarras"/>
      </mc:Fallback>
    </mc:AlternateContent>
    <mc:AlternateContent xmlns:mc="http://schemas.openxmlformats.org/markup-compatibility/2006">
      <mc:Choice Requires="x14">
        <control shapeId="10242" r:id="rId6" name="txtValor">
          <controlPr defaultSize="0" autoLine="0" r:id="rId7">
            <anchor moveWithCells="1">
              <from>
                <xdr:col>4</xdr:col>
                <xdr:colOff>495300</xdr:colOff>
                <xdr:row>16</xdr:row>
                <xdr:rowOff>152400</xdr:rowOff>
              </from>
              <to>
                <xdr:col>13</xdr:col>
                <xdr:colOff>137160</xdr:colOff>
                <xdr:row>17</xdr:row>
                <xdr:rowOff>388620</xdr:rowOff>
              </to>
            </anchor>
          </controlPr>
        </control>
      </mc:Choice>
      <mc:Fallback>
        <control shapeId="10242" r:id="rId6" name="txtValor"/>
      </mc:Fallback>
    </mc:AlternateContent>
    <mc:AlternateContent xmlns:mc="http://schemas.openxmlformats.org/markup-compatibility/2006">
      <mc:Choice Requires="x14">
        <control shapeId="10243" r:id="rId8" name="txtBeneficiario">
          <controlPr defaultSize="0" autoLine="0" r:id="rId9">
            <anchor moveWithCells="1">
              <from>
                <xdr:col>4</xdr:col>
                <xdr:colOff>487680</xdr:colOff>
                <xdr:row>19</xdr:row>
                <xdr:rowOff>144780</xdr:rowOff>
              </from>
              <to>
                <xdr:col>13</xdr:col>
                <xdr:colOff>129540</xdr:colOff>
                <xdr:row>21</xdr:row>
                <xdr:rowOff>0</xdr:rowOff>
              </to>
            </anchor>
          </controlPr>
        </control>
      </mc:Choice>
      <mc:Fallback>
        <control shapeId="10243" r:id="rId8" name="txtBeneficiari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D2A4D-3B48-4CA8-9DC7-77FB4C598A6F}">
  <sheetPr codeName="Planilha4"/>
  <dimension ref="B2:P26"/>
  <sheetViews>
    <sheetView showGridLines="0" showRowColHeaders="0" workbookViewId="0">
      <selection activeCell="B2" sqref="B2"/>
    </sheetView>
  </sheetViews>
  <sheetFormatPr defaultRowHeight="14.4" x14ac:dyDescent="0.3"/>
  <cols>
    <col min="2" max="2" width="11.21875" bestFit="1" customWidth="1"/>
    <col min="3" max="3" width="10.88671875" bestFit="1" customWidth="1"/>
    <col min="5" max="5" width="10.5546875" bestFit="1" customWidth="1"/>
    <col min="7" max="7" width="4.5546875" customWidth="1"/>
    <col min="8" max="8" width="26.21875" customWidth="1"/>
  </cols>
  <sheetData>
    <row r="2" spans="2:16" s="3" customFormat="1" ht="25.8" x14ac:dyDescent="0.5">
      <c r="B2" s="3" t="s">
        <v>2</v>
      </c>
      <c r="C2" s="3">
        <f>Contas!J2</f>
        <v>67899</v>
      </c>
      <c r="E2" s="3" t="s">
        <v>29</v>
      </c>
      <c r="F2" s="3">
        <f>VLOOKUP(C2,Contas!A:D,4,0)</f>
        <v>1100</v>
      </c>
      <c r="H2" s="3" t="s">
        <v>30</v>
      </c>
      <c r="I2" s="3" t="str">
        <f>VLOOKUP(C2,Contas!A:E,5,0)</f>
        <v>Amanda</v>
      </c>
    </row>
    <row r="5" spans="2:16" ht="33.6" x14ac:dyDescent="0.65">
      <c r="E5" s="17" t="s">
        <v>19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3.6" x14ac:dyDescent="0.65">
      <c r="E6" s="17" t="s">
        <v>20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</row>
    <row r="12" spans="2:16" ht="36.6" x14ac:dyDescent="0.7">
      <c r="H12" s="7" t="s">
        <v>18</v>
      </c>
    </row>
    <row r="14" spans="2:16" ht="25.8" x14ac:dyDescent="0.5">
      <c r="H14" s="3" t="s">
        <v>21</v>
      </c>
    </row>
    <row r="18" spans="8:16" ht="14.4" customHeight="1" x14ac:dyDescent="0.3">
      <c r="H18" s="18" t="s">
        <v>22</v>
      </c>
      <c r="I18" s="18"/>
      <c r="J18" s="18"/>
      <c r="K18" s="18"/>
      <c r="L18" s="18"/>
      <c r="M18" s="18"/>
      <c r="N18" s="18"/>
      <c r="O18" s="18"/>
      <c r="P18" s="18"/>
    </row>
    <row r="19" spans="8:16" ht="14.4" customHeight="1" x14ac:dyDescent="0.3">
      <c r="H19" s="18"/>
      <c r="I19" s="18"/>
      <c r="J19" s="18"/>
      <c r="K19" s="18"/>
      <c r="L19" s="18"/>
      <c r="M19" s="18"/>
      <c r="N19" s="18"/>
      <c r="O19" s="18"/>
      <c r="P19" s="18"/>
    </row>
    <row r="20" spans="8:16" ht="14.4" customHeight="1" x14ac:dyDescent="0.3">
      <c r="H20" s="18"/>
      <c r="I20" s="18"/>
      <c r="J20" s="18"/>
      <c r="K20" s="18"/>
      <c r="L20" s="18"/>
      <c r="M20" s="18"/>
      <c r="N20" s="18"/>
      <c r="O20" s="18"/>
      <c r="P20" s="18"/>
    </row>
    <row r="21" spans="8:16" ht="14.4" customHeight="1" x14ac:dyDescent="0.3">
      <c r="H21" s="18"/>
      <c r="I21" s="18"/>
      <c r="J21" s="18"/>
      <c r="K21" s="18"/>
      <c r="L21" s="18"/>
      <c r="M21" s="18"/>
      <c r="N21" s="18"/>
      <c r="O21" s="18"/>
      <c r="P21" s="18"/>
    </row>
    <row r="22" spans="8:16" ht="14.4" customHeight="1" x14ac:dyDescent="0.3">
      <c r="H22" s="18"/>
      <c r="I22" s="18"/>
      <c r="J22" s="18"/>
      <c r="K22" s="18"/>
      <c r="L22" s="18"/>
      <c r="M22" s="18"/>
      <c r="N22" s="18"/>
      <c r="O22" s="18"/>
      <c r="P22" s="18"/>
    </row>
    <row r="23" spans="8:16" x14ac:dyDescent="0.3">
      <c r="H23" s="18"/>
      <c r="I23" s="18"/>
      <c r="J23" s="18"/>
      <c r="K23" s="18"/>
      <c r="L23" s="18"/>
      <c r="M23" s="18"/>
      <c r="N23" s="18"/>
      <c r="O23" s="18"/>
      <c r="P23" s="18"/>
    </row>
    <row r="24" spans="8:16" x14ac:dyDescent="0.3">
      <c r="H24" s="18"/>
      <c r="I24" s="18"/>
      <c r="J24" s="18"/>
      <c r="K24" s="18"/>
      <c r="L24" s="18"/>
      <c r="M24" s="18"/>
      <c r="N24" s="18"/>
      <c r="O24" s="18"/>
      <c r="P24" s="18"/>
    </row>
    <row r="25" spans="8:16" x14ac:dyDescent="0.3">
      <c r="H25" s="18"/>
      <c r="I25" s="18"/>
      <c r="J25" s="18"/>
      <c r="K25" s="18"/>
      <c r="L25" s="18"/>
      <c r="M25" s="18"/>
      <c r="N25" s="18"/>
      <c r="O25" s="18"/>
      <c r="P25" s="18"/>
    </row>
    <row r="26" spans="8:16" x14ac:dyDescent="0.3">
      <c r="H26" s="18"/>
      <c r="I26" s="18"/>
      <c r="J26" s="18"/>
      <c r="K26" s="18"/>
      <c r="L26" s="18"/>
      <c r="M26" s="18"/>
      <c r="N26" s="18"/>
      <c r="O26" s="18"/>
      <c r="P26" s="18"/>
    </row>
  </sheetData>
  <mergeCells count="3">
    <mergeCell ref="E5:P5"/>
    <mergeCell ref="E6:P6"/>
    <mergeCell ref="H18:P2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txtValor">
          <controlPr defaultSize="0" autoLine="0" r:id="rId4">
            <anchor moveWithCells="1">
              <from>
                <xdr:col>9</xdr:col>
                <xdr:colOff>144780</xdr:colOff>
                <xdr:row>10</xdr:row>
                <xdr:rowOff>137160</xdr:rowOff>
              </from>
              <to>
                <xdr:col>13</xdr:col>
                <xdr:colOff>182880</xdr:colOff>
                <xdr:row>11</xdr:row>
                <xdr:rowOff>457200</xdr:rowOff>
              </to>
            </anchor>
          </controlPr>
        </control>
      </mc:Choice>
      <mc:Fallback>
        <control shapeId="4097" r:id="rId3" name="txtValo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D07BD-108C-4739-9D11-591BF6070928}">
  <sheetPr codeName="Planilha7"/>
  <dimension ref="B2:M26"/>
  <sheetViews>
    <sheetView showGridLines="0" showRowColHeaders="0" workbookViewId="0">
      <selection activeCell="B2" sqref="B2"/>
    </sheetView>
  </sheetViews>
  <sheetFormatPr defaultRowHeight="14.4" x14ac:dyDescent="0.3"/>
  <cols>
    <col min="2" max="2" width="11.21875" bestFit="1" customWidth="1"/>
    <col min="3" max="3" width="10.88671875" bestFit="1" customWidth="1"/>
    <col min="5" max="5" width="10.5546875" bestFit="1" customWidth="1"/>
    <col min="8" max="8" width="42.33203125" customWidth="1"/>
  </cols>
  <sheetData>
    <row r="2" spans="2:13" s="3" customFormat="1" ht="25.8" x14ac:dyDescent="0.5">
      <c r="B2" s="3" t="s">
        <v>2</v>
      </c>
      <c r="C2" s="3">
        <f>Contas!J2</f>
        <v>67899</v>
      </c>
      <c r="E2" s="3" t="s">
        <v>29</v>
      </c>
      <c r="F2" s="3">
        <f>VLOOKUP(C2,Contas!A:D,4,0)</f>
        <v>1100</v>
      </c>
      <c r="H2" s="3" t="s">
        <v>30</v>
      </c>
      <c r="I2" s="3" t="str">
        <f>VLOOKUP(C2,Contas!A:E,5,0)</f>
        <v>Amanda</v>
      </c>
    </row>
    <row r="5" spans="2:13" ht="33.6" x14ac:dyDescent="0.65">
      <c r="E5" s="17" t="s">
        <v>19</v>
      </c>
      <c r="F5" s="17"/>
      <c r="G5" s="17"/>
      <c r="H5" s="17"/>
      <c r="I5" s="17"/>
      <c r="J5" s="17"/>
      <c r="K5" s="17"/>
      <c r="L5" s="17"/>
      <c r="M5" s="17"/>
    </row>
    <row r="6" spans="2:13" ht="33.6" x14ac:dyDescent="0.65">
      <c r="E6" s="17" t="s">
        <v>33</v>
      </c>
      <c r="F6" s="17"/>
      <c r="G6" s="17"/>
      <c r="H6" s="17"/>
      <c r="I6" s="17"/>
      <c r="J6" s="17"/>
      <c r="K6" s="17"/>
      <c r="L6" s="17"/>
      <c r="M6" s="17"/>
    </row>
    <row r="12" spans="2:13" ht="36.6" x14ac:dyDescent="0.7">
      <c r="H12" s="7" t="s">
        <v>18</v>
      </c>
    </row>
    <row r="14" spans="2:13" ht="25.8" x14ac:dyDescent="0.5">
      <c r="H14" s="3"/>
    </row>
    <row r="18" ht="14.4" customHeight="1" x14ac:dyDescent="0.3"/>
    <row r="19" ht="14.4" customHeight="1" x14ac:dyDescent="0.3"/>
    <row r="20" ht="14.4" customHeight="1" x14ac:dyDescent="0.3"/>
    <row r="21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</sheetData>
  <mergeCells count="2">
    <mergeCell ref="E5:M5"/>
    <mergeCell ref="E6:M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txtValor">
          <controlPr defaultSize="0" autoLine="0" r:id="rId5">
            <anchor moveWithCells="1">
              <from>
                <xdr:col>7</xdr:col>
                <xdr:colOff>1615440</xdr:colOff>
                <xdr:row>10</xdr:row>
                <xdr:rowOff>137160</xdr:rowOff>
              </from>
              <to>
                <xdr:col>9</xdr:col>
                <xdr:colOff>579120</xdr:colOff>
                <xdr:row>11</xdr:row>
                <xdr:rowOff>457200</xdr:rowOff>
              </to>
            </anchor>
          </controlPr>
        </control>
      </mc:Choice>
      <mc:Fallback>
        <control shapeId="8193" r:id="rId4" name="txtValor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35355-0260-4105-B3A9-47CE1411BAAC}">
  <sheetPr codeName="Planilha5"/>
  <dimension ref="F8:P33"/>
  <sheetViews>
    <sheetView showGridLines="0" showRowColHeaders="0" workbookViewId="0">
      <selection activeCell="J30" sqref="J30:N33"/>
    </sheetView>
  </sheetViews>
  <sheetFormatPr defaultRowHeight="14.4" x14ac:dyDescent="0.3"/>
  <sheetData>
    <row r="8" spans="6:16" ht="33.6" x14ac:dyDescent="0.65">
      <c r="G8" s="1" t="s">
        <v>23</v>
      </c>
    </row>
    <row r="12" spans="6:16" x14ac:dyDescent="0.3">
      <c r="J12" s="19">
        <v>0</v>
      </c>
      <c r="K12" s="19"/>
      <c r="L12" s="19"/>
      <c r="M12" s="19"/>
      <c r="N12" s="19"/>
    </row>
    <row r="13" spans="6:16" x14ac:dyDescent="0.3">
      <c r="J13" s="19"/>
      <c r="K13" s="19"/>
      <c r="L13" s="19"/>
      <c r="M13" s="19"/>
      <c r="N13" s="19"/>
    </row>
    <row r="14" spans="6:16" x14ac:dyDescent="0.3">
      <c r="J14" s="19"/>
      <c r="K14" s="19"/>
      <c r="L14" s="19"/>
      <c r="M14" s="19"/>
      <c r="N14" s="19"/>
    </row>
    <row r="15" spans="6:16" x14ac:dyDescent="0.3">
      <c r="J15" s="19"/>
      <c r="K15" s="19"/>
      <c r="L15" s="19"/>
      <c r="M15" s="19"/>
      <c r="N15" s="19"/>
    </row>
    <row r="16" spans="6:16" ht="15" thickBot="1" x14ac:dyDescent="0.35"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</row>
    <row r="18" spans="6:16" x14ac:dyDescent="0.3">
      <c r="J18" s="19">
        <v>0</v>
      </c>
      <c r="K18" s="19"/>
      <c r="L18" s="19"/>
      <c r="M18" s="19"/>
      <c r="N18" s="19"/>
    </row>
    <row r="19" spans="6:16" x14ac:dyDescent="0.3">
      <c r="J19" s="19"/>
      <c r="K19" s="19"/>
      <c r="L19" s="19"/>
      <c r="M19" s="19"/>
      <c r="N19" s="19"/>
    </row>
    <row r="20" spans="6:16" x14ac:dyDescent="0.3">
      <c r="J20" s="19"/>
      <c r="K20" s="19"/>
      <c r="L20" s="19"/>
      <c r="M20" s="19"/>
      <c r="N20" s="19"/>
    </row>
    <row r="21" spans="6:16" x14ac:dyDescent="0.3">
      <c r="J21" s="19"/>
      <c r="K21" s="19"/>
      <c r="L21" s="19"/>
      <c r="M21" s="19"/>
      <c r="N21" s="19"/>
    </row>
    <row r="22" spans="6:16" ht="15" thickBot="1" x14ac:dyDescent="0.35"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</row>
    <row r="24" spans="6:16" x14ac:dyDescent="0.3">
      <c r="J24" s="19">
        <v>0</v>
      </c>
      <c r="K24" s="19"/>
      <c r="L24" s="19"/>
      <c r="M24" s="19"/>
      <c r="N24" s="19"/>
    </row>
    <row r="25" spans="6:16" x14ac:dyDescent="0.3">
      <c r="J25" s="19"/>
      <c r="K25" s="19"/>
      <c r="L25" s="19"/>
      <c r="M25" s="19"/>
      <c r="N25" s="19"/>
    </row>
    <row r="26" spans="6:16" x14ac:dyDescent="0.3">
      <c r="J26" s="19"/>
      <c r="K26" s="19"/>
      <c r="L26" s="19"/>
      <c r="M26" s="19"/>
      <c r="N26" s="19"/>
    </row>
    <row r="27" spans="6:16" x14ac:dyDescent="0.3">
      <c r="J27" s="19"/>
      <c r="K27" s="19"/>
      <c r="L27" s="19"/>
      <c r="M27" s="19"/>
      <c r="N27" s="19"/>
    </row>
    <row r="28" spans="6:16" ht="15" thickBot="1" x14ac:dyDescent="0.35"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</row>
    <row r="30" spans="6:16" x14ac:dyDescent="0.3">
      <c r="J30" s="19">
        <v>4</v>
      </c>
      <c r="K30" s="19"/>
      <c r="L30" s="19"/>
      <c r="M30" s="19"/>
      <c r="N30" s="19"/>
    </row>
    <row r="31" spans="6:16" x14ac:dyDescent="0.3">
      <c r="J31" s="19"/>
      <c r="K31" s="19"/>
      <c r="L31" s="19"/>
      <c r="M31" s="19"/>
      <c r="N31" s="19"/>
    </row>
    <row r="32" spans="6:16" x14ac:dyDescent="0.3">
      <c r="J32" s="19"/>
      <c r="K32" s="19"/>
      <c r="L32" s="19"/>
      <c r="M32" s="19"/>
      <c r="N32" s="19"/>
    </row>
    <row r="33" spans="10:14" x14ac:dyDescent="0.3">
      <c r="J33" s="19"/>
      <c r="K33" s="19"/>
      <c r="L33" s="19"/>
      <c r="M33" s="19"/>
      <c r="N33" s="19"/>
    </row>
  </sheetData>
  <mergeCells count="4">
    <mergeCell ref="J12:N15"/>
    <mergeCell ref="J18:N21"/>
    <mergeCell ref="J24:N27"/>
    <mergeCell ref="J30:N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41CFD-46F7-47C2-8A00-0C5F136F158D}">
  <sheetPr codeName="Planilha6"/>
  <dimension ref="A1:H30"/>
  <sheetViews>
    <sheetView workbookViewId="0"/>
  </sheetViews>
  <sheetFormatPr defaultRowHeight="14.4" x14ac:dyDescent="0.3"/>
  <cols>
    <col min="1" max="1" width="14" bestFit="1" customWidth="1"/>
    <col min="2" max="2" width="22.109375" customWidth="1"/>
    <col min="3" max="3" width="22.77734375" customWidth="1"/>
    <col min="4" max="4" width="27.5546875" customWidth="1"/>
    <col min="5" max="5" width="24.109375" customWidth="1"/>
    <col min="6" max="6" width="28.21875" bestFit="1" customWidth="1"/>
    <col min="7" max="7" width="43.5546875" customWidth="1"/>
    <col min="8" max="8" width="16.44140625" bestFit="1" customWidth="1"/>
  </cols>
  <sheetData>
    <row r="1" spans="1:8" ht="33.6" x14ac:dyDescent="0.65">
      <c r="A1" s="5" t="s">
        <v>24</v>
      </c>
      <c r="B1" s="5" t="s">
        <v>1</v>
      </c>
      <c r="C1" s="5" t="s">
        <v>7</v>
      </c>
      <c r="D1" s="5" t="s">
        <v>25</v>
      </c>
      <c r="E1" s="5" t="s">
        <v>26</v>
      </c>
      <c r="F1" s="5" t="s">
        <v>27</v>
      </c>
      <c r="G1" s="5" t="s">
        <v>28</v>
      </c>
    </row>
    <row r="2" spans="1:8" ht="33.6" x14ac:dyDescent="0.65">
      <c r="A2" s="3">
        <v>2</v>
      </c>
      <c r="B2" s="3">
        <v>67899</v>
      </c>
      <c r="C2" s="3" t="s">
        <v>12</v>
      </c>
      <c r="D2" s="3" t="s">
        <v>31</v>
      </c>
      <c r="E2" s="3">
        <v>200</v>
      </c>
      <c r="F2" s="10">
        <v>44830</v>
      </c>
      <c r="G2" s="11" t="s">
        <v>32</v>
      </c>
      <c r="H2" s="1"/>
    </row>
    <row r="3" spans="1:8" ht="25.8" x14ac:dyDescent="0.5">
      <c r="A3" s="3">
        <v>3</v>
      </c>
      <c r="B3" s="3">
        <v>67899</v>
      </c>
      <c r="C3" s="3" t="s">
        <v>12</v>
      </c>
      <c r="D3" s="3" t="s">
        <v>31</v>
      </c>
      <c r="E3" s="3">
        <v>439</v>
      </c>
      <c r="F3" s="12">
        <v>44895</v>
      </c>
      <c r="G3" s="3" t="s">
        <v>32</v>
      </c>
    </row>
    <row r="4" spans="1:8" ht="25.8" x14ac:dyDescent="0.5">
      <c r="A4" s="3">
        <v>4</v>
      </c>
      <c r="B4" s="3">
        <v>67899</v>
      </c>
      <c r="C4" s="3" t="s">
        <v>12</v>
      </c>
      <c r="D4" s="3" t="s">
        <v>31</v>
      </c>
      <c r="E4" s="3">
        <v>60</v>
      </c>
      <c r="F4" s="12">
        <v>44870</v>
      </c>
      <c r="G4" s="3" t="s">
        <v>32</v>
      </c>
    </row>
    <row r="5" spans="1:8" ht="25.8" x14ac:dyDescent="0.5">
      <c r="A5" s="3">
        <v>5</v>
      </c>
      <c r="B5" s="3">
        <v>67899</v>
      </c>
      <c r="C5" s="3" t="s">
        <v>12</v>
      </c>
      <c r="D5" s="3" t="s">
        <v>31</v>
      </c>
      <c r="E5" s="3">
        <v>50</v>
      </c>
      <c r="F5" s="12">
        <v>44896</v>
      </c>
      <c r="G5" s="3" t="s">
        <v>32</v>
      </c>
    </row>
    <row r="6" spans="1:8" ht="25.8" x14ac:dyDescent="0.5">
      <c r="A6" s="3">
        <v>6</v>
      </c>
      <c r="B6" s="3">
        <v>67899</v>
      </c>
      <c r="C6" s="3" t="s">
        <v>12</v>
      </c>
      <c r="D6" s="3" t="s">
        <v>34</v>
      </c>
      <c r="E6" s="3">
        <v>500</v>
      </c>
      <c r="F6" s="12">
        <v>44910</v>
      </c>
      <c r="G6" s="3" t="s">
        <v>35</v>
      </c>
    </row>
    <row r="7" spans="1:8" ht="25.8" x14ac:dyDescent="0.5">
      <c r="A7" s="3">
        <v>7</v>
      </c>
      <c r="B7" s="3">
        <v>67899</v>
      </c>
      <c r="C7" s="3" t="s">
        <v>12</v>
      </c>
      <c r="D7" s="3" t="s">
        <v>34</v>
      </c>
      <c r="E7" s="3">
        <v>200</v>
      </c>
      <c r="F7" s="12">
        <v>44930</v>
      </c>
      <c r="G7" s="3" t="s">
        <v>35</v>
      </c>
    </row>
    <row r="8" spans="1:8" ht="25.8" x14ac:dyDescent="0.5">
      <c r="A8" s="3">
        <v>8</v>
      </c>
      <c r="B8" s="3">
        <v>67899</v>
      </c>
      <c r="C8" s="3" t="s">
        <v>12</v>
      </c>
      <c r="D8" s="3" t="s">
        <v>34</v>
      </c>
      <c r="E8" s="3">
        <v>49</v>
      </c>
      <c r="F8" s="12">
        <v>44950</v>
      </c>
      <c r="G8" s="3" t="s">
        <v>35</v>
      </c>
    </row>
    <row r="9" spans="1:8" ht="25.8" x14ac:dyDescent="0.5">
      <c r="A9" s="3">
        <v>9</v>
      </c>
      <c r="B9" s="3">
        <v>67899</v>
      </c>
      <c r="C9" s="3" t="s">
        <v>12</v>
      </c>
      <c r="D9" s="3" t="s">
        <v>31</v>
      </c>
      <c r="E9" s="3">
        <v>200</v>
      </c>
      <c r="F9" s="12">
        <v>44970</v>
      </c>
      <c r="G9" s="3" t="s">
        <v>40</v>
      </c>
    </row>
    <row r="10" spans="1:8" ht="25.8" x14ac:dyDescent="0.5">
      <c r="A10" s="3">
        <v>10</v>
      </c>
      <c r="B10" s="3">
        <v>67899</v>
      </c>
      <c r="C10" s="3" t="s">
        <v>12</v>
      </c>
      <c r="D10" s="3" t="s">
        <v>31</v>
      </c>
      <c r="E10" s="3">
        <v>100</v>
      </c>
      <c r="F10" s="12">
        <v>44990</v>
      </c>
      <c r="G10" s="3" t="s">
        <v>41</v>
      </c>
    </row>
    <row r="11" spans="1:8" ht="25.8" x14ac:dyDescent="0.5">
      <c r="A11" s="3">
        <v>11</v>
      </c>
      <c r="B11" s="3">
        <v>67899</v>
      </c>
      <c r="C11" s="3" t="s">
        <v>12</v>
      </c>
      <c r="D11" s="3" t="s">
        <v>31</v>
      </c>
      <c r="E11" s="3">
        <v>100</v>
      </c>
      <c r="F11" s="12">
        <v>45010</v>
      </c>
      <c r="G11" s="3" t="s">
        <v>42</v>
      </c>
    </row>
    <row r="12" spans="1:8" ht="25.8" x14ac:dyDescent="0.5">
      <c r="A12" s="3">
        <v>12</v>
      </c>
      <c r="B12" s="3">
        <v>55598</v>
      </c>
      <c r="C12" s="3" t="s">
        <v>13</v>
      </c>
      <c r="D12" s="3" t="s">
        <v>34</v>
      </c>
      <c r="E12" s="3">
        <v>200</v>
      </c>
      <c r="F12" s="12">
        <v>44923</v>
      </c>
      <c r="G12" s="3" t="s">
        <v>35</v>
      </c>
    </row>
    <row r="13" spans="1:8" ht="25.8" x14ac:dyDescent="0.5">
      <c r="A13" s="3">
        <v>13</v>
      </c>
      <c r="B13" s="3">
        <v>55598</v>
      </c>
      <c r="C13" s="3" t="s">
        <v>13</v>
      </c>
      <c r="D13" s="3" t="s">
        <v>31</v>
      </c>
      <c r="E13" s="3">
        <v>500</v>
      </c>
      <c r="F13" s="12">
        <v>44923</v>
      </c>
      <c r="G13" s="3" t="s">
        <v>32</v>
      </c>
    </row>
    <row r="14" spans="1:8" ht="25.8" x14ac:dyDescent="0.5">
      <c r="A14" s="3">
        <v>14</v>
      </c>
      <c r="B14" s="3">
        <v>55598</v>
      </c>
      <c r="C14" s="3" t="s">
        <v>13</v>
      </c>
      <c r="D14" s="3" t="s">
        <v>31</v>
      </c>
      <c r="E14" s="3">
        <v>100</v>
      </c>
      <c r="F14" s="12">
        <v>44923</v>
      </c>
      <c r="G14" s="3" t="s">
        <v>32</v>
      </c>
    </row>
    <row r="15" spans="1:8" ht="25.8" x14ac:dyDescent="0.5">
      <c r="A15" s="3">
        <v>15</v>
      </c>
      <c r="B15" s="3">
        <v>55598</v>
      </c>
      <c r="C15" s="3" t="s">
        <v>13</v>
      </c>
      <c r="D15" s="3" t="s">
        <v>34</v>
      </c>
      <c r="E15" s="3">
        <v>400</v>
      </c>
      <c r="F15" s="12">
        <v>44923</v>
      </c>
      <c r="G15" s="3" t="s">
        <v>35</v>
      </c>
    </row>
    <row r="16" spans="1:8" ht="25.8" x14ac:dyDescent="0.5">
      <c r="A16" s="3">
        <v>16</v>
      </c>
      <c r="B16" s="3">
        <v>55598</v>
      </c>
      <c r="C16" s="3" t="s">
        <v>13</v>
      </c>
      <c r="D16" s="3" t="s">
        <v>31</v>
      </c>
      <c r="E16" s="3">
        <v>200</v>
      </c>
      <c r="F16" s="12">
        <v>44923</v>
      </c>
      <c r="G16" s="3" t="s">
        <v>46</v>
      </c>
    </row>
    <row r="17" spans="1:7" ht="25.8" x14ac:dyDescent="0.5">
      <c r="A17" s="3">
        <v>17</v>
      </c>
      <c r="B17" s="3">
        <v>55598</v>
      </c>
      <c r="C17" s="3" t="s">
        <v>13</v>
      </c>
      <c r="D17" s="3" t="s">
        <v>31</v>
      </c>
      <c r="E17" s="3">
        <v>249</v>
      </c>
      <c r="F17" s="12">
        <v>44923</v>
      </c>
      <c r="G17" s="3" t="s">
        <v>32</v>
      </c>
    </row>
    <row r="18" spans="1:7" ht="25.8" x14ac:dyDescent="0.5">
      <c r="A18" s="3">
        <v>18</v>
      </c>
      <c r="B18" s="3">
        <v>55598</v>
      </c>
      <c r="C18" s="3" t="s">
        <v>13</v>
      </c>
      <c r="D18" s="3" t="s">
        <v>31</v>
      </c>
      <c r="E18" s="3">
        <v>50</v>
      </c>
      <c r="F18" s="12">
        <v>44923</v>
      </c>
      <c r="G18" s="3" t="s">
        <v>32</v>
      </c>
    </row>
    <row r="19" spans="1:7" ht="25.8" x14ac:dyDescent="0.5">
      <c r="A19" s="3">
        <v>19</v>
      </c>
      <c r="B19" s="3">
        <v>55598</v>
      </c>
      <c r="C19" s="3" t="s">
        <v>13</v>
      </c>
      <c r="D19" s="3" t="s">
        <v>34</v>
      </c>
      <c r="E19" s="3">
        <v>499</v>
      </c>
      <c r="F19" s="12">
        <v>44923</v>
      </c>
      <c r="G19" s="3" t="s">
        <v>35</v>
      </c>
    </row>
    <row r="20" spans="1:7" ht="25.8" x14ac:dyDescent="0.5">
      <c r="A20" s="3">
        <v>20</v>
      </c>
      <c r="B20" s="3">
        <v>98545</v>
      </c>
      <c r="C20" s="3" t="s">
        <v>10</v>
      </c>
      <c r="D20" s="3" t="s">
        <v>31</v>
      </c>
      <c r="E20" s="3">
        <v>50</v>
      </c>
      <c r="F20" s="12">
        <v>44923</v>
      </c>
      <c r="G20" s="3" t="s">
        <v>32</v>
      </c>
    </row>
    <row r="21" spans="1:7" ht="25.8" x14ac:dyDescent="0.5">
      <c r="A21" s="3">
        <v>21</v>
      </c>
      <c r="B21" s="3">
        <v>98545</v>
      </c>
      <c r="C21" s="3" t="s">
        <v>10</v>
      </c>
      <c r="D21" s="3" t="s">
        <v>31</v>
      </c>
      <c r="E21" s="3">
        <v>400</v>
      </c>
      <c r="F21" s="12">
        <v>44923</v>
      </c>
      <c r="G21" s="3" t="s">
        <v>47</v>
      </c>
    </row>
    <row r="22" spans="1:7" ht="25.8" x14ac:dyDescent="0.5">
      <c r="A22" s="3">
        <v>22</v>
      </c>
      <c r="B22" s="3">
        <v>98545</v>
      </c>
      <c r="C22" s="3" t="s">
        <v>10</v>
      </c>
      <c r="D22" s="3" t="s">
        <v>34</v>
      </c>
      <c r="E22" s="3">
        <v>2000</v>
      </c>
      <c r="F22" s="12">
        <v>44923</v>
      </c>
      <c r="G22" s="3" t="s">
        <v>35</v>
      </c>
    </row>
    <row r="23" spans="1:7" ht="25.8" x14ac:dyDescent="0.5">
      <c r="A23" s="3">
        <v>23</v>
      </c>
      <c r="B23" s="3">
        <v>67899</v>
      </c>
      <c r="C23" s="3" t="s">
        <v>12</v>
      </c>
      <c r="D23" s="3" t="s">
        <v>31</v>
      </c>
      <c r="E23" s="3">
        <v>120</v>
      </c>
      <c r="F23" s="12">
        <v>44923</v>
      </c>
      <c r="G23" s="3" t="s">
        <v>48</v>
      </c>
    </row>
    <row r="24" spans="1:7" ht="25.8" x14ac:dyDescent="0.5">
      <c r="A24" s="3">
        <v>24</v>
      </c>
      <c r="B24" s="3">
        <v>67899</v>
      </c>
      <c r="C24" s="3" t="s">
        <v>12</v>
      </c>
      <c r="D24" s="3" t="s">
        <v>31</v>
      </c>
      <c r="E24" s="3">
        <v>180</v>
      </c>
      <c r="F24" s="12">
        <v>44923</v>
      </c>
      <c r="G24" s="3" t="s">
        <v>32</v>
      </c>
    </row>
    <row r="25" spans="1:7" ht="25.8" x14ac:dyDescent="0.5">
      <c r="A25" s="3">
        <v>25</v>
      </c>
      <c r="B25" s="3">
        <v>67899</v>
      </c>
      <c r="C25" s="3" t="s">
        <v>12</v>
      </c>
      <c r="D25" s="3" t="s">
        <v>31</v>
      </c>
      <c r="E25" s="3">
        <v>139</v>
      </c>
      <c r="F25" s="12">
        <v>44923</v>
      </c>
      <c r="G25" s="3" t="s">
        <v>32</v>
      </c>
    </row>
    <row r="26" spans="1:7" ht="25.8" x14ac:dyDescent="0.5">
      <c r="A26" s="3">
        <v>26</v>
      </c>
      <c r="B26" s="3">
        <v>67899</v>
      </c>
      <c r="C26" s="3" t="s">
        <v>12</v>
      </c>
      <c r="D26" s="3" t="s">
        <v>34</v>
      </c>
      <c r="E26" s="3">
        <v>839</v>
      </c>
      <c r="F26" s="12">
        <v>44923</v>
      </c>
      <c r="G26" s="3" t="s">
        <v>35</v>
      </c>
    </row>
    <row r="27" spans="1:7" ht="25.8" x14ac:dyDescent="0.5">
      <c r="A27" s="3">
        <v>27</v>
      </c>
      <c r="B27" s="3">
        <v>55598</v>
      </c>
      <c r="C27" s="3" t="s">
        <v>13</v>
      </c>
      <c r="D27" s="3" t="s">
        <v>31</v>
      </c>
      <c r="E27" s="3">
        <v>300</v>
      </c>
      <c r="F27" s="12">
        <v>44923</v>
      </c>
      <c r="G27" s="3" t="s">
        <v>32</v>
      </c>
    </row>
    <row r="28" spans="1:7" ht="25.8" x14ac:dyDescent="0.5">
      <c r="A28" s="3">
        <v>28</v>
      </c>
      <c r="B28" s="3">
        <v>67899</v>
      </c>
      <c r="C28" s="3" t="s">
        <v>12</v>
      </c>
      <c r="D28" s="3" t="s">
        <v>31</v>
      </c>
      <c r="E28" s="3">
        <v>200</v>
      </c>
      <c r="F28" s="12">
        <v>44925</v>
      </c>
      <c r="G28" s="3" t="s">
        <v>32</v>
      </c>
    </row>
    <row r="29" spans="1:7" ht="25.8" x14ac:dyDescent="0.5">
      <c r="A29" s="3">
        <v>29</v>
      </c>
      <c r="B29" s="3">
        <v>67899</v>
      </c>
      <c r="C29" s="3" t="s">
        <v>12</v>
      </c>
      <c r="D29" s="3" t="s">
        <v>31</v>
      </c>
      <c r="E29" s="3">
        <v>100</v>
      </c>
      <c r="F29" s="12">
        <v>44925</v>
      </c>
      <c r="G29" s="3" t="s">
        <v>49</v>
      </c>
    </row>
    <row r="30" spans="1:7" ht="25.8" x14ac:dyDescent="0.5">
      <c r="A30" s="3">
        <v>30</v>
      </c>
      <c r="B30" s="3">
        <v>67899</v>
      </c>
      <c r="C30" s="3" t="s">
        <v>12</v>
      </c>
      <c r="D30" s="3" t="s">
        <v>34</v>
      </c>
      <c r="E30" s="3">
        <v>400</v>
      </c>
      <c r="F30" s="12">
        <v>44925</v>
      </c>
      <c r="G30" s="3" t="s">
        <v>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Saldo e Extratos</vt:lpstr>
      <vt:lpstr>Extrato</vt:lpstr>
      <vt:lpstr>Pagamentos</vt:lpstr>
      <vt:lpstr>Saque</vt:lpstr>
      <vt:lpstr>Deposito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MARCO ANTONIO LEITE DO CARMO LEITE</cp:lastModifiedBy>
  <dcterms:created xsi:type="dcterms:W3CDTF">2022-12-24T01:27:30Z</dcterms:created>
  <dcterms:modified xsi:type="dcterms:W3CDTF">2023-04-24T13:13:25Z</dcterms:modified>
</cp:coreProperties>
</file>