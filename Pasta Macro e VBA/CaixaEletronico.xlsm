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urso Udemy - Excel do Basico ao Avançado + Macro e VB\"/>
    </mc:Choice>
  </mc:AlternateContent>
  <xr:revisionPtr revIDLastSave="0" documentId="13_ncr:1_{ADD9EB18-B1BF-462D-9007-AA6BAFA879F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tabRatio="718" firstSheet="1" activeTab="4" xr2:uid="{3A74A201-1D13-44E8-98E7-17AA00F547EA}"/>
  </bookViews>
  <sheets>
    <sheet name="Contas" sheetId="2" r:id="rId1"/>
    <sheet name="Acesso" sheetId="1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7" l="1"/>
  <c r="G2" i="7"/>
  <c r="D2" i="7"/>
  <c r="K2" i="2"/>
  <c r="D3" i="2"/>
  <c r="D4" i="2"/>
  <c r="D2" i="2"/>
  <c r="C4" i="11"/>
  <c r="B4" i="11" s="1"/>
  <c r="D2" i="10"/>
  <c r="M2" i="10" s="1"/>
  <c r="D2" i="4"/>
  <c r="M2" i="4" s="1"/>
  <c r="D2" i="1"/>
  <c r="G2" i="10" l="1"/>
  <c r="G2" i="4"/>
  <c r="D2" i="9"/>
  <c r="M2" i="9" s="1"/>
  <c r="G2" i="9" l="1"/>
</calcChain>
</file>

<file path=xl/sharedStrings.xml><?xml version="1.0" encoding="utf-8"?>
<sst xmlns="http://schemas.openxmlformats.org/spreadsheetml/2006/main" count="255" uniqueCount="46">
  <si>
    <t>Login</t>
  </si>
  <si>
    <t>Conta</t>
  </si>
  <si>
    <t>Conta:</t>
  </si>
  <si>
    <t>Senha:</t>
  </si>
  <si>
    <t xml:space="preserve">Senha </t>
  </si>
  <si>
    <t>Saldo Inicial</t>
  </si>
  <si>
    <t>Saldo Final</t>
  </si>
  <si>
    <t xml:space="preserve"> Dono</t>
  </si>
  <si>
    <t xml:space="preserve"> Acesso</t>
  </si>
  <si>
    <t>aluno</t>
  </si>
  <si>
    <t>Allan</t>
  </si>
  <si>
    <t>usuario</t>
  </si>
  <si>
    <t>Amanda</t>
  </si>
  <si>
    <t>Berenice</t>
  </si>
  <si>
    <t>Conta Logada</t>
  </si>
  <si>
    <t>Saldo</t>
  </si>
  <si>
    <t>POR FAVOR APERTE O BOTÃO CORRESPONDENTE ABAIXO:</t>
  </si>
  <si>
    <t>OPÇÃO DESEJADA</t>
  </si>
  <si>
    <t>Valor:</t>
  </si>
  <si>
    <t>SELECIONE A OPÇÃO DESEJADA</t>
  </si>
  <si>
    <t>DIGITE O VALOR E TECLE SACAR</t>
  </si>
  <si>
    <t>NOTAS DISPONÍVEIS: R$ 2,00, R$ 5,00, R$ 10,00, R$ 20,00, R$ 50,00 E R$ 100,00</t>
  </si>
  <si>
    <t>ESCOLHA O VALOR PARA SAQUE, APERTANDO OS BOTÕES AO LADO OU DIGITANDO O VALOR</t>
  </si>
  <si>
    <t>RETIRE SEU DINHEIRO E CONFIRA</t>
  </si>
  <si>
    <t>ID</t>
  </si>
  <si>
    <t>Transação</t>
  </si>
  <si>
    <t>Valor</t>
  </si>
  <si>
    <t>Data</t>
  </si>
  <si>
    <t>Descrição</t>
  </si>
  <si>
    <t>Saque</t>
  </si>
  <si>
    <t>Debito</t>
  </si>
  <si>
    <t>DIGITE O VALOR E TECLE DEPOSITAR</t>
  </si>
  <si>
    <t>SELECIONE A OPÇÃO DESEJADA OU</t>
  </si>
  <si>
    <t>Credito</t>
  </si>
  <si>
    <t>Deposito</t>
  </si>
  <si>
    <t>DIGITE COM ATENÇÃO OS DADOS PARA PAGAR</t>
  </si>
  <si>
    <t>Código de Barras:</t>
  </si>
  <si>
    <t>Beneficiario:</t>
  </si>
  <si>
    <t>5555999821 - Favorecido: Alberto</t>
  </si>
  <si>
    <t>5555999854 - Favorecido: Paulo</t>
  </si>
  <si>
    <t>99515117 - Favorecido: Sabesp</t>
  </si>
  <si>
    <t>99515118 - Favorecido: Vivo</t>
  </si>
  <si>
    <t>Serviços Sujeitos a Cobranças de Tarifas</t>
  </si>
  <si>
    <t>12598u147 - Favorecido: Luz</t>
  </si>
  <si>
    <t>Data Inicio</t>
  </si>
  <si>
    <t>Data Fim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</si>
</sst>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color theme="0" tint="-4.9989318521683403E-2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rgb="FFFF0000"/>
      </left>
      <right/>
      <top style="thin">
        <color rgb="FFFF0000"/>
      </top>
      <bottom style="medium">
        <color indexed="64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indent="2"/>
    </xf>
    <xf numFmtId="164" fontId="2" fillId="0" borderId="0" xfId="1" applyFont="1"/>
    <xf numFmtId="0" fontId="5" fillId="2" borderId="1" xfId="0" applyFont="1" applyFill="1" applyBorder="1"/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5" xfId="0" applyFont="1" applyFill="1" applyBorder="1"/>
    <xf numFmtId="0" fontId="0" fillId="0" borderId="0" xfId="0" applyAlignment="1">
      <alignment horizontal="center"/>
    </xf>
    <xf numFmtId="0" fontId="6" fillId="0" borderId="0" xfId="0" applyFont="1"/>
    <xf numFmtId="0" fontId="0" fillId="0" borderId="6" xfId="0" applyBorder="1"/>
    <xf numFmtId="0" fontId="8" fillId="0" borderId="0" xfId="0" applyFont="1" applyAlignment="1">
      <alignment horizontal="center" vertical="center"/>
    </xf>
    <xf numFmtId="0" fontId="5" fillId="2" borderId="5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14" fontId="2" fillId="0" borderId="0" xfId="1" applyNumberFormat="1" applyFont="1"/>
    <xf numFmtId="14" fontId="2" fillId="0" borderId="0" xfId="0" applyNumberFormat="1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14" fontId="5" fillId="2" borderId="2" xfId="0" applyNumberFormat="1" applyFont="1" applyFill="1" applyBorder="1" applyAlignment="1">
      <alignment horizontal="center"/>
    </xf>
    <xf numFmtId="14" fontId="5" fillId="2" borderId="5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64" fontId="2" fillId="0" borderId="0" xfId="1" applyFont="1" applyAlignment="1"/>
    <xf numFmtId="0" fontId="6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D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eg"/><Relationship Id="rId1" Type="http://schemas.openxmlformats.org/officeDocument/2006/relationships/image" Target="../media/image8.jpg"/><Relationship Id="rId6" Type="http://schemas.openxmlformats.org/officeDocument/2006/relationships/image" Target="../media/image13.jpeg"/><Relationship Id="rId5" Type="http://schemas.openxmlformats.org/officeDocument/2006/relationships/image" Target="../media/image12.jpg"/><Relationship Id="rId4" Type="http://schemas.openxmlformats.org/officeDocument/2006/relationships/image" Target="../media/image1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</xdr:colOff>
          <xdr:row>10</xdr:row>
          <xdr:rowOff>91440</xdr:rowOff>
        </xdr:from>
        <xdr:to>
          <xdr:col>10</xdr:col>
          <xdr:colOff>533400</xdr:colOff>
          <xdr:row>13</xdr:row>
          <xdr:rowOff>137160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45720</xdr:colOff>
      <xdr:row>10</xdr:row>
      <xdr:rowOff>53340</xdr:rowOff>
    </xdr:from>
    <xdr:to>
      <xdr:col>11</xdr:col>
      <xdr:colOff>30480</xdr:colOff>
      <xdr:row>14</xdr:row>
      <xdr:rowOff>15240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84120" y="2125980"/>
          <a:ext cx="4251960" cy="69342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45720</xdr:colOff>
      <xdr:row>18</xdr:row>
      <xdr:rowOff>53340</xdr:rowOff>
    </xdr:from>
    <xdr:to>
      <xdr:col>11</xdr:col>
      <xdr:colOff>30480</xdr:colOff>
      <xdr:row>22</xdr:row>
      <xdr:rowOff>15240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84120" y="2125980"/>
          <a:ext cx="4251960" cy="69342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18</xdr:row>
          <xdr:rowOff>106680</xdr:rowOff>
        </xdr:from>
        <xdr:to>
          <xdr:col>10</xdr:col>
          <xdr:colOff>571500</xdr:colOff>
          <xdr:row>21</xdr:row>
          <xdr:rowOff>152400</xdr:rowOff>
        </xdr:to>
        <xdr:sp macro="" textlink="">
          <xdr:nvSpPr>
            <xdr:cNvPr id="1026" name="txtSenh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23</xdr:row>
          <xdr:rowOff>45720</xdr:rowOff>
        </xdr:from>
        <xdr:to>
          <xdr:col>11</xdr:col>
          <xdr:colOff>30480</xdr:colOff>
          <xdr:row>26</xdr:row>
          <xdr:rowOff>30480</xdr:rowOff>
        </xdr:to>
        <xdr:sp macro="" textlink="">
          <xdr:nvSpPr>
            <xdr:cNvPr id="1027" name="btnLog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8</xdr:row>
      <xdr:rowOff>22860</xdr:rowOff>
    </xdr:from>
    <xdr:to>
      <xdr:col>8</xdr:col>
      <xdr:colOff>396240</xdr:colOff>
      <xdr:row>11</xdr:row>
      <xdr:rowOff>30480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97380" y="1912620"/>
          <a:ext cx="3375660" cy="55626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3</xdr:col>
      <xdr:colOff>144780</xdr:colOff>
      <xdr:row>8</xdr:row>
      <xdr:rowOff>91440</xdr:rowOff>
    </xdr:from>
    <xdr:to>
      <xdr:col>4</xdr:col>
      <xdr:colOff>22860</xdr:colOff>
      <xdr:row>10</xdr:row>
      <xdr:rowOff>167640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0800000">
          <a:off x="1973580" y="1981200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16</xdr:col>
      <xdr:colOff>327660</xdr:colOff>
      <xdr:row>11</xdr:row>
      <xdr:rowOff>7620</xdr:rowOff>
    </xdr:to>
    <xdr:sp macro="[0]!telaS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05600" y="1889760"/>
          <a:ext cx="3375660" cy="55626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15</xdr:col>
      <xdr:colOff>327660</xdr:colOff>
      <xdr:row>8</xdr:row>
      <xdr:rowOff>60960</xdr:rowOff>
    </xdr:from>
    <xdr:to>
      <xdr:col>16</xdr:col>
      <xdr:colOff>205740</xdr:colOff>
      <xdr:row>10</xdr:row>
      <xdr:rowOff>137160</xdr:rowOff>
    </xdr:to>
    <xdr:sp macro="" textlink="">
      <xdr:nvSpPr>
        <xdr:cNvPr id="6" name="Seta: Divis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471660" y="1950720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22860</xdr:colOff>
      <xdr:row>13</xdr:row>
      <xdr:rowOff>0</xdr:rowOff>
    </xdr:from>
    <xdr:to>
      <xdr:col>8</xdr:col>
      <xdr:colOff>350520</xdr:colOff>
      <xdr:row>16</xdr:row>
      <xdr:rowOff>7620</xdr:rowOff>
    </xdr:to>
    <xdr:sp macro="[0]!telaPagament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1660" y="2804160"/>
          <a:ext cx="3375660" cy="55626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3</xdr:col>
      <xdr:colOff>144780</xdr:colOff>
      <xdr:row>13</xdr:row>
      <xdr:rowOff>68580</xdr:rowOff>
    </xdr:from>
    <xdr:to>
      <xdr:col>4</xdr:col>
      <xdr:colOff>22860</xdr:colOff>
      <xdr:row>15</xdr:row>
      <xdr:rowOff>144780</xdr:rowOff>
    </xdr:to>
    <xdr:sp macro="[0]!telaPagamentos" textlink="">
      <xdr:nvSpPr>
        <xdr:cNvPr id="8" name="Seta: Divis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0800000">
          <a:off x="1973580" y="2872740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13</xdr:row>
      <xdr:rowOff>7620</xdr:rowOff>
    </xdr:from>
    <xdr:to>
      <xdr:col>16</xdr:col>
      <xdr:colOff>365760</xdr:colOff>
      <xdr:row>16</xdr:row>
      <xdr:rowOff>15240</xdr:rowOff>
    </xdr:to>
    <xdr:sp macro="[0]!telaSaldoExtrato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743700" y="2811780"/>
          <a:ext cx="3375660" cy="55626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pt-BR" sz="24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15</xdr:col>
      <xdr:colOff>350520</xdr:colOff>
      <xdr:row>13</xdr:row>
      <xdr:rowOff>53340</xdr:rowOff>
    </xdr:from>
    <xdr:to>
      <xdr:col>16</xdr:col>
      <xdr:colOff>228600</xdr:colOff>
      <xdr:row>15</xdr:row>
      <xdr:rowOff>129540</xdr:rowOff>
    </xdr:to>
    <xdr:sp macro="[0]!telaSaldoExtratos" textlink="">
      <xdr:nvSpPr>
        <xdr:cNvPr id="10" name="Seta: Divis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494520" y="2857500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153786</xdr:colOff>
      <xdr:row>11</xdr:row>
      <xdr:rowOff>132312</xdr:rowOff>
    </xdr:from>
    <xdr:to>
      <xdr:col>5</xdr:col>
      <xdr:colOff>481446</xdr:colOff>
      <xdr:row>13</xdr:row>
      <xdr:rowOff>112222</xdr:rowOff>
    </xdr:to>
    <xdr:sp macro="[0]!digiteVint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3786" y="2556857"/>
          <a:ext cx="3375660" cy="561801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20,00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12</xdr:row>
      <xdr:rowOff>13162</xdr:rowOff>
    </xdr:from>
    <xdr:to>
      <xdr:col>1</xdr:col>
      <xdr:colOff>123306</xdr:colOff>
      <xdr:row>13</xdr:row>
      <xdr:rowOff>104602</xdr:rowOff>
    </xdr:to>
    <xdr:sp macro="[0]!digiteVinte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rot="10800000">
          <a:off x="245226" y="2617817"/>
          <a:ext cx="487680" cy="493221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138546</xdr:colOff>
      <xdr:row>14</xdr:row>
      <xdr:rowOff>277092</xdr:rowOff>
    </xdr:from>
    <xdr:to>
      <xdr:col>5</xdr:col>
      <xdr:colOff>466206</xdr:colOff>
      <xdr:row>17</xdr:row>
      <xdr:rowOff>132311</xdr:rowOff>
    </xdr:to>
    <xdr:sp macro="[0]!digiteQuarent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38546" y="3463637"/>
          <a:ext cx="3375660" cy="547947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40,00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15</xdr:row>
      <xdr:rowOff>20782</xdr:rowOff>
    </xdr:from>
    <xdr:to>
      <xdr:col>1</xdr:col>
      <xdr:colOff>123306</xdr:colOff>
      <xdr:row>17</xdr:row>
      <xdr:rowOff>96982</xdr:rowOff>
    </xdr:to>
    <xdr:sp macro="[0]!digiteQuarenta" textlink="">
      <xdr:nvSpPr>
        <xdr:cNvPr id="9" name="Seta: Divisa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245226" y="3539837"/>
          <a:ext cx="487680" cy="43641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138546</xdr:colOff>
      <xdr:row>18</xdr:row>
      <xdr:rowOff>124691</xdr:rowOff>
    </xdr:from>
    <xdr:to>
      <xdr:col>5</xdr:col>
      <xdr:colOff>466206</xdr:colOff>
      <xdr:row>21</xdr:row>
      <xdr:rowOff>132311</xdr:rowOff>
    </xdr:to>
    <xdr:sp macro="[0]!digiteCinquet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38546" y="4184073"/>
          <a:ext cx="3375660" cy="547947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50,00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19</xdr:row>
      <xdr:rowOff>20782</xdr:rowOff>
    </xdr:from>
    <xdr:to>
      <xdr:col>1</xdr:col>
      <xdr:colOff>123306</xdr:colOff>
      <xdr:row>21</xdr:row>
      <xdr:rowOff>96982</xdr:rowOff>
    </xdr:to>
    <xdr:sp macro="[0]!digiteCinqueta" textlink="">
      <xdr:nvSpPr>
        <xdr:cNvPr id="11" name="Seta: Divisa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0800000">
          <a:off x="245226" y="4260273"/>
          <a:ext cx="487680" cy="43641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138546</xdr:colOff>
      <xdr:row>22</xdr:row>
      <xdr:rowOff>124691</xdr:rowOff>
    </xdr:from>
    <xdr:to>
      <xdr:col>5</xdr:col>
      <xdr:colOff>466206</xdr:colOff>
      <xdr:row>25</xdr:row>
      <xdr:rowOff>132312</xdr:rowOff>
    </xdr:to>
    <xdr:sp macro="[0]!digiteCe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38546" y="4904509"/>
          <a:ext cx="3375660" cy="547948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100,00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23</xdr:row>
      <xdr:rowOff>20782</xdr:rowOff>
    </xdr:from>
    <xdr:to>
      <xdr:col>1</xdr:col>
      <xdr:colOff>123306</xdr:colOff>
      <xdr:row>25</xdr:row>
      <xdr:rowOff>96982</xdr:rowOff>
    </xdr:to>
    <xdr:sp macro="[0]!digiteCem" textlink="">
      <xdr:nvSpPr>
        <xdr:cNvPr id="13" name="Seta: Divisa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0800000">
          <a:off x="245226" y="4980709"/>
          <a:ext cx="487680" cy="43641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64424</xdr:colOff>
      <xdr:row>11</xdr:row>
      <xdr:rowOff>118457</xdr:rowOff>
    </xdr:from>
    <xdr:to>
      <xdr:col>25</xdr:col>
      <xdr:colOff>392084</xdr:colOff>
      <xdr:row>13</xdr:row>
      <xdr:rowOff>90747</xdr:rowOff>
    </xdr:to>
    <xdr:sp macro="[0]!digiteTrez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2491951" y="2543002"/>
          <a:ext cx="3375660" cy="554181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300,00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308264</xdr:colOff>
      <xdr:row>11</xdr:row>
      <xdr:rowOff>164177</xdr:rowOff>
    </xdr:from>
    <xdr:to>
      <xdr:col>25</xdr:col>
      <xdr:colOff>186344</xdr:colOff>
      <xdr:row>13</xdr:row>
      <xdr:rowOff>60267</xdr:rowOff>
    </xdr:to>
    <xdr:sp macro="[0]!digiteTrezentos" textlink="">
      <xdr:nvSpPr>
        <xdr:cNvPr id="15" name="Seta: Divisa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5174191" y="2588722"/>
          <a:ext cx="487680" cy="477981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41564</xdr:colOff>
      <xdr:row>14</xdr:row>
      <xdr:rowOff>263237</xdr:rowOff>
    </xdr:from>
    <xdr:to>
      <xdr:col>25</xdr:col>
      <xdr:colOff>369224</xdr:colOff>
      <xdr:row>17</xdr:row>
      <xdr:rowOff>118456</xdr:rowOff>
    </xdr:to>
    <xdr:sp macro="[0]!digiteQuinhento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469091" y="3449782"/>
          <a:ext cx="3375660" cy="547947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500,00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285404</xdr:colOff>
      <xdr:row>14</xdr:row>
      <xdr:rowOff>324197</xdr:rowOff>
    </xdr:from>
    <xdr:to>
      <xdr:col>25</xdr:col>
      <xdr:colOff>163484</xdr:colOff>
      <xdr:row>17</xdr:row>
      <xdr:rowOff>67887</xdr:rowOff>
    </xdr:to>
    <xdr:sp macro="[0]!digiteQuinhentos" textlink="">
      <xdr:nvSpPr>
        <xdr:cNvPr id="17" name="Seta: Divisa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5151331" y="3510742"/>
          <a:ext cx="487680" cy="43641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41564</xdr:colOff>
      <xdr:row>18</xdr:row>
      <xdr:rowOff>110836</xdr:rowOff>
    </xdr:from>
    <xdr:to>
      <xdr:col>25</xdr:col>
      <xdr:colOff>369224</xdr:colOff>
      <xdr:row>21</xdr:row>
      <xdr:rowOff>118456</xdr:rowOff>
    </xdr:to>
    <xdr:sp macro="[0]!digiteNovecent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2469091" y="4170218"/>
          <a:ext cx="3375660" cy="547947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900,00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285404</xdr:colOff>
      <xdr:row>18</xdr:row>
      <xdr:rowOff>171796</xdr:rowOff>
    </xdr:from>
    <xdr:to>
      <xdr:col>25</xdr:col>
      <xdr:colOff>163484</xdr:colOff>
      <xdr:row>21</xdr:row>
      <xdr:rowOff>67887</xdr:rowOff>
    </xdr:to>
    <xdr:sp macro="[0]!digiteNovecentos" textlink="">
      <xdr:nvSpPr>
        <xdr:cNvPr id="19" name="Seta: Divisa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5151331" y="4231178"/>
          <a:ext cx="487680" cy="43641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41564</xdr:colOff>
      <xdr:row>22</xdr:row>
      <xdr:rowOff>110836</xdr:rowOff>
    </xdr:from>
    <xdr:to>
      <xdr:col>25</xdr:col>
      <xdr:colOff>369224</xdr:colOff>
      <xdr:row>25</xdr:row>
      <xdr:rowOff>118457</xdr:rowOff>
    </xdr:to>
    <xdr:sp macro="[0]!digiteMi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2469091" y="4890654"/>
          <a:ext cx="3375660" cy="547948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1.000,00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285404</xdr:colOff>
      <xdr:row>22</xdr:row>
      <xdr:rowOff>171796</xdr:rowOff>
    </xdr:from>
    <xdr:to>
      <xdr:col>25</xdr:col>
      <xdr:colOff>163484</xdr:colOff>
      <xdr:row>25</xdr:row>
      <xdr:rowOff>67887</xdr:rowOff>
    </xdr:to>
    <xdr:sp macro="[0]!digiteMil" textlink="">
      <xdr:nvSpPr>
        <xdr:cNvPr id="21" name="Seta: Divisa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5151331" y="4951614"/>
          <a:ext cx="487680" cy="43641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129540</xdr:colOff>
          <xdr:row>12</xdr:row>
          <xdr:rowOff>0</xdr:rowOff>
        </xdr:from>
        <xdr:to>
          <xdr:col>13</xdr:col>
          <xdr:colOff>152400</xdr:colOff>
          <xdr:row>13</xdr:row>
          <xdr:rowOff>106680</xdr:rowOff>
        </xdr:to>
        <xdr:sp macro="" textlink="">
          <xdr:nvSpPr>
            <xdr:cNvPr id="4098" name="txtValor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</xdr:colOff>
      <xdr:row>4</xdr:row>
      <xdr:rowOff>7620</xdr:rowOff>
    </xdr:from>
    <xdr:to>
      <xdr:col>5</xdr:col>
      <xdr:colOff>403860</xdr:colOff>
      <xdr:row>5</xdr:row>
      <xdr:rowOff>167640</xdr:rowOff>
    </xdr:to>
    <xdr:sp macro="[0]!Volt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6200" y="739140"/>
          <a:ext cx="3375660" cy="5562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0</xdr:col>
      <xdr:colOff>152400</xdr:colOff>
      <xdr:row>4</xdr:row>
      <xdr:rowOff>45720</xdr:rowOff>
    </xdr:from>
    <xdr:to>
      <xdr:col>1</xdr:col>
      <xdr:colOff>30480</xdr:colOff>
      <xdr:row>5</xdr:row>
      <xdr:rowOff>137160</xdr:rowOff>
    </xdr:to>
    <xdr:sp macro="[0]!Voltar" textlink="">
      <xdr:nvSpPr>
        <xdr:cNvPr id="24" name="Seta: Divisa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 rot="10800000">
          <a:off x="152400" y="777240"/>
          <a:ext cx="48768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50569</xdr:colOff>
      <xdr:row>4</xdr:row>
      <xdr:rowOff>13855</xdr:rowOff>
    </xdr:from>
    <xdr:to>
      <xdr:col>25</xdr:col>
      <xdr:colOff>431569</xdr:colOff>
      <xdr:row>5</xdr:row>
      <xdr:rowOff>173875</xdr:rowOff>
    </xdr:to>
    <xdr:sp macro="[0]!sacarDinheir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2478096" y="734291"/>
          <a:ext cx="3429000" cy="561802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153786</xdr:colOff>
      <xdr:row>11</xdr:row>
      <xdr:rowOff>132312</xdr:rowOff>
    </xdr:from>
    <xdr:to>
      <xdr:col>5</xdr:col>
      <xdr:colOff>481446</xdr:colOff>
      <xdr:row>13</xdr:row>
      <xdr:rowOff>112222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3786" y="2715492"/>
          <a:ext cx="3672840" cy="55903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20,00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12</xdr:row>
      <xdr:rowOff>13162</xdr:rowOff>
    </xdr:from>
    <xdr:to>
      <xdr:col>1</xdr:col>
      <xdr:colOff>123306</xdr:colOff>
      <xdr:row>13</xdr:row>
      <xdr:rowOff>104602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0800000">
          <a:off x="245226" y="2779222"/>
          <a:ext cx="48768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138546</xdr:colOff>
      <xdr:row>14</xdr:row>
      <xdr:rowOff>277092</xdr:rowOff>
    </xdr:from>
    <xdr:to>
      <xdr:col>5</xdr:col>
      <xdr:colOff>466206</xdr:colOff>
      <xdr:row>17</xdr:row>
      <xdr:rowOff>132311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8546" y="3622272"/>
          <a:ext cx="3672840" cy="548639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40,00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15</xdr:row>
      <xdr:rowOff>20782</xdr:rowOff>
    </xdr:from>
    <xdr:to>
      <xdr:col>1</xdr:col>
      <xdr:colOff>123306</xdr:colOff>
      <xdr:row>17</xdr:row>
      <xdr:rowOff>96982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 rot="10800000">
          <a:off x="245226" y="3693622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138546</xdr:colOff>
      <xdr:row>18</xdr:row>
      <xdr:rowOff>124691</xdr:rowOff>
    </xdr:from>
    <xdr:to>
      <xdr:col>5</xdr:col>
      <xdr:colOff>466206</xdr:colOff>
      <xdr:row>21</xdr:row>
      <xdr:rowOff>132311</xdr:rowOff>
    </xdr:to>
    <xdr:sp macro="[0]!digiteCinque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38546" y="4346171"/>
          <a:ext cx="3672840" cy="55626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50,00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19</xdr:row>
      <xdr:rowOff>20782</xdr:rowOff>
    </xdr:from>
    <xdr:to>
      <xdr:col>1</xdr:col>
      <xdr:colOff>123306</xdr:colOff>
      <xdr:row>21</xdr:row>
      <xdr:rowOff>96982</xdr:rowOff>
    </xdr:to>
    <xdr:sp macro="[0]!digiteCinqueta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 rot="10800000">
          <a:off x="245226" y="4425142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138546</xdr:colOff>
      <xdr:row>22</xdr:row>
      <xdr:rowOff>124691</xdr:rowOff>
    </xdr:from>
    <xdr:to>
      <xdr:col>5</xdr:col>
      <xdr:colOff>466206</xdr:colOff>
      <xdr:row>25</xdr:row>
      <xdr:rowOff>132312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38546" y="5077691"/>
          <a:ext cx="3672840" cy="556261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100,00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245226</xdr:colOff>
      <xdr:row>23</xdr:row>
      <xdr:rowOff>20782</xdr:rowOff>
    </xdr:from>
    <xdr:to>
      <xdr:col>1</xdr:col>
      <xdr:colOff>123306</xdr:colOff>
      <xdr:row>25</xdr:row>
      <xdr:rowOff>96982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245226" y="5156662"/>
          <a:ext cx="487680" cy="44196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64424</xdr:colOff>
      <xdr:row>11</xdr:row>
      <xdr:rowOff>118457</xdr:rowOff>
    </xdr:from>
    <xdr:to>
      <xdr:col>21</xdr:col>
      <xdr:colOff>392084</xdr:colOff>
      <xdr:row>13</xdr:row>
      <xdr:rowOff>90747</xdr:rowOff>
    </xdr:to>
    <xdr:sp macro="[0]!digiteTre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782204" y="2701637"/>
          <a:ext cx="3375660" cy="55141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300,00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308264</xdr:colOff>
      <xdr:row>11</xdr:row>
      <xdr:rowOff>164177</xdr:rowOff>
    </xdr:from>
    <xdr:to>
      <xdr:col>21</xdr:col>
      <xdr:colOff>186344</xdr:colOff>
      <xdr:row>13</xdr:row>
      <xdr:rowOff>60267</xdr:rowOff>
    </xdr:to>
    <xdr:sp macro="[0]!digiteTrezentos" textlink="">
      <xdr:nvSpPr>
        <xdr:cNvPr id="11" name="Seta: Divisa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5464444" y="2747357"/>
          <a:ext cx="487680" cy="47521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41564</xdr:colOff>
      <xdr:row>14</xdr:row>
      <xdr:rowOff>263237</xdr:rowOff>
    </xdr:from>
    <xdr:to>
      <xdr:col>21</xdr:col>
      <xdr:colOff>369224</xdr:colOff>
      <xdr:row>17</xdr:row>
      <xdr:rowOff>118456</xdr:rowOff>
    </xdr:to>
    <xdr:sp macro="[0]!digiteQuinh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2759344" y="3608417"/>
          <a:ext cx="3375660" cy="548639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500,00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285404</xdr:colOff>
      <xdr:row>14</xdr:row>
      <xdr:rowOff>324197</xdr:rowOff>
    </xdr:from>
    <xdr:to>
      <xdr:col>21</xdr:col>
      <xdr:colOff>163484</xdr:colOff>
      <xdr:row>17</xdr:row>
      <xdr:rowOff>67887</xdr:rowOff>
    </xdr:to>
    <xdr:sp macro="[0]!digiteQuinhentos" textlink="">
      <xdr:nvSpPr>
        <xdr:cNvPr id="13" name="Seta: Divisa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5441584" y="3669377"/>
          <a:ext cx="487680" cy="43711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41564</xdr:colOff>
      <xdr:row>18</xdr:row>
      <xdr:rowOff>110836</xdr:rowOff>
    </xdr:from>
    <xdr:to>
      <xdr:col>21</xdr:col>
      <xdr:colOff>369224</xdr:colOff>
      <xdr:row>21</xdr:row>
      <xdr:rowOff>118456</xdr:rowOff>
    </xdr:to>
    <xdr:sp macro="[0]!digiteNovec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759344" y="4332316"/>
          <a:ext cx="3375660" cy="556260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900,00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285404</xdr:colOff>
      <xdr:row>18</xdr:row>
      <xdr:rowOff>171796</xdr:rowOff>
    </xdr:from>
    <xdr:to>
      <xdr:col>21</xdr:col>
      <xdr:colOff>163484</xdr:colOff>
      <xdr:row>21</xdr:row>
      <xdr:rowOff>67887</xdr:rowOff>
    </xdr:to>
    <xdr:sp macro="[0]!digiteNovecentos" textlink="">
      <xdr:nvSpPr>
        <xdr:cNvPr id="15" name="Seta: Divisa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5441584" y="4393276"/>
          <a:ext cx="487680" cy="444731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41564</xdr:colOff>
      <xdr:row>22</xdr:row>
      <xdr:rowOff>110836</xdr:rowOff>
    </xdr:from>
    <xdr:to>
      <xdr:col>21</xdr:col>
      <xdr:colOff>369224</xdr:colOff>
      <xdr:row>25</xdr:row>
      <xdr:rowOff>118457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2759344" y="5063836"/>
          <a:ext cx="3375660" cy="556261"/>
        </a:xfrm>
        <a:prstGeom prst="roundRect">
          <a:avLst/>
        </a:prstGeom>
        <a:solidFill>
          <a:srgbClr val="FF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R$</a:t>
          </a:r>
          <a:r>
            <a:rPr lang="pt-BR" sz="2400" baseline="0">
              <a:solidFill>
                <a:sysClr val="windowText" lastClr="000000"/>
              </a:solidFill>
            </a:rPr>
            <a:t> 1.000,00</a:t>
          </a:r>
          <a:endParaRPr lang="pt-BR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285404</xdr:colOff>
      <xdr:row>22</xdr:row>
      <xdr:rowOff>171796</xdr:rowOff>
    </xdr:from>
    <xdr:to>
      <xdr:col>21</xdr:col>
      <xdr:colOff>163484</xdr:colOff>
      <xdr:row>25</xdr:row>
      <xdr:rowOff>67887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5441584" y="5124796"/>
          <a:ext cx="487680" cy="444731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76200</xdr:colOff>
      <xdr:row>4</xdr:row>
      <xdr:rowOff>7620</xdr:rowOff>
    </xdr:from>
    <xdr:to>
      <xdr:col>5</xdr:col>
      <xdr:colOff>403860</xdr:colOff>
      <xdr:row>5</xdr:row>
      <xdr:rowOff>167640</xdr:rowOff>
    </xdr:to>
    <xdr:sp macro="[0]!Voltar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6200" y="883920"/>
          <a:ext cx="3672840" cy="5562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0</xdr:col>
      <xdr:colOff>152400</xdr:colOff>
      <xdr:row>4</xdr:row>
      <xdr:rowOff>45720</xdr:rowOff>
    </xdr:from>
    <xdr:to>
      <xdr:col>1</xdr:col>
      <xdr:colOff>30480</xdr:colOff>
      <xdr:row>5</xdr:row>
      <xdr:rowOff>137160</xdr:rowOff>
    </xdr:to>
    <xdr:sp macro="[0]!Voltar" textlink="">
      <xdr:nvSpPr>
        <xdr:cNvPr id="19" name="Seta: Divisa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 rot="10800000">
          <a:off x="152400" y="922020"/>
          <a:ext cx="48768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50569</xdr:colOff>
      <xdr:row>4</xdr:row>
      <xdr:rowOff>13855</xdr:rowOff>
    </xdr:from>
    <xdr:to>
      <xdr:col>21</xdr:col>
      <xdr:colOff>431569</xdr:colOff>
      <xdr:row>5</xdr:row>
      <xdr:rowOff>173875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2768349" y="890155"/>
          <a:ext cx="3429000" cy="5562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11</xdr:row>
          <xdr:rowOff>76200</xdr:rowOff>
        </xdr:from>
        <xdr:to>
          <xdr:col>13</xdr:col>
          <xdr:colOff>53340</xdr:colOff>
          <xdr:row>12</xdr:row>
          <xdr:rowOff>251460</xdr:rowOff>
        </xdr:to>
        <xdr:sp macro="" textlink="">
          <xdr:nvSpPr>
            <xdr:cNvPr id="8193" name="txtValo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4</xdr:row>
      <xdr:rowOff>45720</xdr:rowOff>
    </xdr:from>
    <xdr:to>
      <xdr:col>2</xdr:col>
      <xdr:colOff>0</xdr:colOff>
      <xdr:row>5</xdr:row>
      <xdr:rowOff>137160</xdr:rowOff>
    </xdr:to>
    <xdr:sp macro="[0]!Voltar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0800000">
          <a:off x="152400" y="922020"/>
          <a:ext cx="48768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0</xdr:colOff>
      <xdr:row>4</xdr:row>
      <xdr:rowOff>13855</xdr:rowOff>
    </xdr:from>
    <xdr:to>
      <xdr:col>19</xdr:col>
      <xdr:colOff>431569</xdr:colOff>
      <xdr:row>5</xdr:row>
      <xdr:rowOff>173875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768349" y="890155"/>
          <a:ext cx="3429000" cy="5562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PAGAR</a:t>
          </a:r>
        </a:p>
      </xdr:txBody>
    </xdr:sp>
    <xdr:clientData/>
  </xdr:twoCellAnchor>
  <xdr:twoCellAnchor>
    <xdr:from>
      <xdr:col>0</xdr:col>
      <xdr:colOff>274320</xdr:colOff>
      <xdr:row>4</xdr:row>
      <xdr:rowOff>0</xdr:rowOff>
    </xdr:from>
    <xdr:to>
      <xdr:col>4</xdr:col>
      <xdr:colOff>601980</xdr:colOff>
      <xdr:row>5</xdr:row>
      <xdr:rowOff>160020</xdr:rowOff>
    </xdr:to>
    <xdr:sp macro="[0]!Volt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74320" y="876300"/>
          <a:ext cx="3063240" cy="5562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0</xdr:col>
      <xdr:colOff>350520</xdr:colOff>
      <xdr:row>4</xdr:row>
      <xdr:rowOff>38100</xdr:rowOff>
    </xdr:from>
    <xdr:to>
      <xdr:col>1</xdr:col>
      <xdr:colOff>198120</xdr:colOff>
      <xdr:row>5</xdr:row>
      <xdr:rowOff>129540</xdr:rowOff>
    </xdr:to>
    <xdr:sp macro="[0]!Voltar" textlink="">
      <xdr:nvSpPr>
        <xdr:cNvPr id="6" name="Seta: Divis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10800000">
          <a:off x="350520" y="914400"/>
          <a:ext cx="45720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594360</xdr:colOff>
          <xdr:row>10</xdr:row>
          <xdr:rowOff>0</xdr:rowOff>
        </xdr:from>
        <xdr:to>
          <xdr:col>14</xdr:col>
          <xdr:colOff>15240</xdr:colOff>
          <xdr:row>11</xdr:row>
          <xdr:rowOff>15240</xdr:rowOff>
        </xdr:to>
        <xdr:sp macro="" textlink="">
          <xdr:nvSpPr>
            <xdr:cNvPr id="9217" name="txtCodigoDeBarra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601980</xdr:colOff>
          <xdr:row>12</xdr:row>
          <xdr:rowOff>0</xdr:rowOff>
        </xdr:from>
        <xdr:to>
          <xdr:col>14</xdr:col>
          <xdr:colOff>7620</xdr:colOff>
          <xdr:row>13</xdr:row>
          <xdr:rowOff>15240</xdr:rowOff>
        </xdr:to>
        <xdr:sp macro="" textlink="">
          <xdr:nvSpPr>
            <xdr:cNvPr id="9218" name="txtValor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594360</xdr:colOff>
          <xdr:row>14</xdr:row>
          <xdr:rowOff>7620</xdr:rowOff>
        </xdr:from>
        <xdr:to>
          <xdr:col>14</xdr:col>
          <xdr:colOff>30480</xdr:colOff>
          <xdr:row>15</xdr:row>
          <xdr:rowOff>91440</xdr:rowOff>
        </xdr:to>
        <xdr:sp macro="" textlink="">
          <xdr:nvSpPr>
            <xdr:cNvPr id="9219" name="txtBeneficiario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4</xdr:row>
      <xdr:rowOff>45720</xdr:rowOff>
    </xdr:from>
    <xdr:to>
      <xdr:col>2</xdr:col>
      <xdr:colOff>0</xdr:colOff>
      <xdr:row>5</xdr:row>
      <xdr:rowOff>137160</xdr:rowOff>
    </xdr:to>
    <xdr:sp macro="[0]!Voltar" textlink="">
      <xdr:nvSpPr>
        <xdr:cNvPr id="2" name="Seta: Divis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 rot="10800000">
          <a:off x="762000" y="922020"/>
          <a:ext cx="45720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274320</xdr:colOff>
      <xdr:row>4</xdr:row>
      <xdr:rowOff>0</xdr:rowOff>
    </xdr:from>
    <xdr:to>
      <xdr:col>4</xdr:col>
      <xdr:colOff>601980</xdr:colOff>
      <xdr:row>5</xdr:row>
      <xdr:rowOff>160020</xdr:rowOff>
    </xdr:to>
    <xdr:sp macro="[0]!Volt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74320" y="876300"/>
          <a:ext cx="3063240" cy="5562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0</xdr:col>
      <xdr:colOff>350520</xdr:colOff>
      <xdr:row>4</xdr:row>
      <xdr:rowOff>38100</xdr:rowOff>
    </xdr:from>
    <xdr:to>
      <xdr:col>1</xdr:col>
      <xdr:colOff>198120</xdr:colOff>
      <xdr:row>5</xdr:row>
      <xdr:rowOff>129540</xdr:rowOff>
    </xdr:to>
    <xdr:sp macro="[0]!Voltar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0800000">
          <a:off x="350520" y="914400"/>
          <a:ext cx="457200" cy="48768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312420</xdr:colOff>
      <xdr:row>7</xdr:row>
      <xdr:rowOff>22860</xdr:rowOff>
    </xdr:from>
    <xdr:to>
      <xdr:col>5</xdr:col>
      <xdr:colOff>0</xdr:colOff>
      <xdr:row>13</xdr:row>
      <xdr:rowOff>38100</xdr:rowOff>
    </xdr:to>
    <xdr:sp macro="[0]!extratoUltimos30Dia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12420" y="2019300"/>
          <a:ext cx="3032760" cy="1112520"/>
        </a:xfrm>
        <a:prstGeom prst="roundRect">
          <a:avLst>
            <a:gd name="adj" fmla="val 11594"/>
          </a:avLst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                      </a:t>
          </a:r>
          <a:r>
            <a:rPr lang="pt-BR" sz="2000" b="1"/>
            <a:t>Extratos</a:t>
          </a:r>
          <a:r>
            <a:rPr lang="pt-BR" sz="2000" b="1" baseline="0"/>
            <a:t> últimos</a:t>
          </a:r>
        </a:p>
        <a:p>
          <a:pPr algn="ctr"/>
          <a:r>
            <a:rPr lang="pt-BR" sz="2000" b="1" baseline="0"/>
            <a:t>         30 dias</a:t>
          </a:r>
          <a:endParaRPr lang="pt-BR" sz="1100" b="1"/>
        </a:p>
      </xdr:txBody>
    </xdr:sp>
    <xdr:clientData/>
  </xdr:twoCellAnchor>
  <xdr:twoCellAnchor>
    <xdr:from>
      <xdr:col>0</xdr:col>
      <xdr:colOff>502920</xdr:colOff>
      <xdr:row>7</xdr:row>
      <xdr:rowOff>121920</xdr:rowOff>
    </xdr:from>
    <xdr:to>
      <xdr:col>1</xdr:col>
      <xdr:colOff>533400</xdr:colOff>
      <xdr:row>12</xdr:row>
      <xdr:rowOff>129540</xdr:rowOff>
    </xdr:to>
    <xdr:sp macro="[0]!extratoUltimos30Dias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0800000">
          <a:off x="502920" y="2118360"/>
          <a:ext cx="640080" cy="9220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22860</xdr:rowOff>
    </xdr:from>
    <xdr:to>
      <xdr:col>16</xdr:col>
      <xdr:colOff>594360</xdr:colOff>
      <xdr:row>13</xdr:row>
      <xdr:rowOff>38100</xdr:rowOff>
    </xdr:to>
    <xdr:sp macro="[0]!extratoMesesAnteriore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612380" y="2019300"/>
          <a:ext cx="3032760" cy="1112520"/>
        </a:xfrm>
        <a:prstGeom prst="roundRect">
          <a:avLst>
            <a:gd name="adj" fmla="val 11594"/>
          </a:avLst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/>
            <a:t>   Extratos</a:t>
          </a:r>
          <a:r>
            <a:rPr lang="pt-BR" sz="2000" b="1" baseline="0"/>
            <a:t> Meses</a:t>
          </a:r>
        </a:p>
        <a:p>
          <a:pPr algn="l"/>
          <a:r>
            <a:rPr lang="pt-BR" sz="2000" b="1" baseline="0"/>
            <a:t>       Anteriores</a:t>
          </a:r>
          <a:endParaRPr lang="pt-BR" sz="1100" b="1"/>
        </a:p>
      </xdr:txBody>
    </xdr:sp>
    <xdr:clientData/>
  </xdr:twoCellAnchor>
  <xdr:twoCellAnchor>
    <xdr:from>
      <xdr:col>15</xdr:col>
      <xdr:colOff>403860</xdr:colOff>
      <xdr:row>7</xdr:row>
      <xdr:rowOff>99060</xdr:rowOff>
    </xdr:from>
    <xdr:to>
      <xdr:col>16</xdr:col>
      <xdr:colOff>434340</xdr:colOff>
      <xdr:row>12</xdr:row>
      <xdr:rowOff>106680</xdr:rowOff>
    </xdr:to>
    <xdr:sp macro="[0]!extratoMesesAnteriores" textlink="">
      <xdr:nvSpPr>
        <xdr:cNvPr id="12" name="Seta: Divisa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 rot="21540000">
          <a:off x="9845040" y="2095500"/>
          <a:ext cx="640080" cy="9220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13895</xdr:colOff>
      <xdr:row>2</xdr:row>
      <xdr:rowOff>219188</xdr:rowOff>
    </xdr:to>
    <xdr:sp macro="[0]!voltarSaldoExtrat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7185660" y="373380"/>
          <a:ext cx="3671495" cy="554468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6</xdr:col>
      <xdr:colOff>76200</xdr:colOff>
      <xdr:row>1</xdr:row>
      <xdr:rowOff>38100</xdr:rowOff>
    </xdr:from>
    <xdr:to>
      <xdr:col>6</xdr:col>
      <xdr:colOff>563880</xdr:colOff>
      <xdr:row>2</xdr:row>
      <xdr:rowOff>188708</xdr:rowOff>
    </xdr:to>
    <xdr:sp macro="[0]!voltarSaldoExtratos" textlink="">
      <xdr:nvSpPr>
        <xdr:cNvPr id="8" name="Seta: Divisa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7261860" y="411480"/>
          <a:ext cx="487680" cy="48588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4</xdr:row>
      <xdr:rowOff>396240</xdr:rowOff>
    </xdr:from>
    <xdr:to>
      <xdr:col>21</xdr:col>
      <xdr:colOff>38100</xdr:colOff>
      <xdr:row>29</xdr:row>
      <xdr:rowOff>68580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586740" y="1127760"/>
          <a:ext cx="12390120" cy="4495800"/>
        </a:xfrm>
        <a:prstGeom prst="roundRect">
          <a:avLst>
            <a:gd name="adj" fmla="val 3977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6</xdr:col>
      <xdr:colOff>327660</xdr:colOff>
      <xdr:row>4</xdr:row>
      <xdr:rowOff>0</xdr:rowOff>
    </xdr:to>
    <xdr:sp macro="[0]!telaS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09600" y="365760"/>
          <a:ext cx="3375660" cy="554468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1</xdr:col>
      <xdr:colOff>76200</xdr:colOff>
      <xdr:row>1</xdr:row>
      <xdr:rowOff>38100</xdr:rowOff>
    </xdr:from>
    <xdr:to>
      <xdr:col>1</xdr:col>
      <xdr:colOff>563880</xdr:colOff>
      <xdr:row>3</xdr:row>
      <xdr:rowOff>158228</xdr:rowOff>
    </xdr:to>
    <xdr:sp macro="[0]!telaSque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 rot="10800000">
          <a:off x="685800" y="403860"/>
          <a:ext cx="487680" cy="48588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10478</xdr:colOff>
      <xdr:row>4</xdr:row>
      <xdr:rowOff>419099</xdr:rowOff>
    </xdr:from>
    <xdr:to>
      <xdr:col>5</xdr:col>
      <xdr:colOff>236220</xdr:colOff>
      <xdr:row>10</xdr:row>
      <xdr:rowOff>173734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8" y="1150619"/>
          <a:ext cx="2054542" cy="1095755"/>
        </a:xfrm>
        <a:prstGeom prst="rect">
          <a:avLst/>
        </a:prstGeom>
      </xdr:spPr>
    </xdr:pic>
    <xdr:clientData/>
  </xdr:twoCellAnchor>
  <xdr:twoCellAnchor editAs="oneCell">
    <xdr:from>
      <xdr:col>12</xdr:col>
      <xdr:colOff>9780</xdr:colOff>
      <xdr:row>5</xdr:row>
      <xdr:rowOff>7620</xdr:rowOff>
    </xdr:from>
    <xdr:to>
      <xdr:col>15</xdr:col>
      <xdr:colOff>317723</xdr:colOff>
      <xdr:row>10</xdr:row>
      <xdr:rowOff>68580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4980" y="1531620"/>
          <a:ext cx="2136743" cy="9753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</xdr:row>
      <xdr:rowOff>7620</xdr:rowOff>
    </xdr:from>
    <xdr:to>
      <xdr:col>5</xdr:col>
      <xdr:colOff>266699</xdr:colOff>
      <xdr:row>18</xdr:row>
      <xdr:rowOff>47059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636520"/>
          <a:ext cx="2095499" cy="953839"/>
        </a:xfrm>
        <a:prstGeom prst="rect">
          <a:avLst/>
        </a:prstGeom>
      </xdr:spPr>
    </xdr:pic>
    <xdr:clientData/>
  </xdr:twoCellAnchor>
  <xdr:twoCellAnchor editAs="oneCell">
    <xdr:from>
      <xdr:col>12</xdr:col>
      <xdr:colOff>22859</xdr:colOff>
      <xdr:row>13</xdr:row>
      <xdr:rowOff>15239</xdr:rowOff>
    </xdr:from>
    <xdr:to>
      <xdr:col>15</xdr:col>
      <xdr:colOff>205740</xdr:colOff>
      <xdr:row>18</xdr:row>
      <xdr:rowOff>26212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8059" y="3009899"/>
          <a:ext cx="2011681" cy="925373"/>
        </a:xfrm>
        <a:prstGeom prst="rect">
          <a:avLst/>
        </a:prstGeom>
      </xdr:spPr>
    </xdr:pic>
    <xdr:clientData/>
  </xdr:twoCellAnchor>
  <xdr:twoCellAnchor editAs="oneCell">
    <xdr:from>
      <xdr:col>2</xdr:col>
      <xdr:colOff>15241</xdr:colOff>
      <xdr:row>21</xdr:row>
      <xdr:rowOff>15240</xdr:rowOff>
    </xdr:from>
    <xdr:to>
      <xdr:col>5</xdr:col>
      <xdr:colOff>274652</xdr:colOff>
      <xdr:row>26</xdr:row>
      <xdr:rowOff>22860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1" y="4107180"/>
          <a:ext cx="2088211" cy="92202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21</xdr:row>
      <xdr:rowOff>7620</xdr:rowOff>
    </xdr:from>
    <xdr:to>
      <xdr:col>15</xdr:col>
      <xdr:colOff>251459</xdr:colOff>
      <xdr:row>26</xdr:row>
      <xdr:rowOff>37434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0440" y="4099560"/>
          <a:ext cx="2065019" cy="9442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487680</xdr:colOff>
      <xdr:row>1</xdr:row>
      <xdr:rowOff>150608</xdr:rowOff>
    </xdr:to>
    <xdr:sp macro="[0]!voltarSaldoExtratos" textlink="">
      <xdr:nvSpPr>
        <xdr:cNvPr id="2" name="Seta: Divis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0800000">
          <a:off x="11247120" y="0"/>
          <a:ext cx="487680" cy="485888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Relationship Id="rId9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8628D-C3AF-4072-BD4C-48F66D1C2E40}">
  <sheetPr codeName="Planilha2"/>
  <dimension ref="A1:K10"/>
  <sheetViews>
    <sheetView showGridLines="0" showRowColHeaders="0" workbookViewId="0">
      <selection activeCell="D2" sqref="D2"/>
    </sheetView>
  </sheetViews>
  <sheetFormatPr defaultRowHeight="14.4" x14ac:dyDescent="0.3"/>
  <cols>
    <col min="1" max="1" width="10.88671875" bestFit="1" customWidth="1"/>
    <col min="2" max="2" width="11.21875" bestFit="1" customWidth="1"/>
    <col min="3" max="4" width="21.77734375" bestFit="1" customWidth="1"/>
    <col min="5" max="5" width="13.88671875" bestFit="1" customWidth="1"/>
    <col min="6" max="6" width="12.44140625" bestFit="1" customWidth="1"/>
    <col min="10" max="10" width="22" bestFit="1" customWidth="1"/>
    <col min="11" max="11" width="21.77734375" bestFit="1" customWidth="1"/>
  </cols>
  <sheetData>
    <row r="1" spans="1:11" ht="26.4" thickBot="1" x14ac:dyDescent="0.55000000000000004">
      <c r="A1" s="8" t="s">
        <v>1</v>
      </c>
      <c r="B1" s="5" t="s">
        <v>4</v>
      </c>
      <c r="C1" s="5" t="s">
        <v>5</v>
      </c>
      <c r="D1" s="5" t="s">
        <v>6</v>
      </c>
      <c r="E1" s="5" t="s">
        <v>7</v>
      </c>
      <c r="F1" s="7" t="s">
        <v>8</v>
      </c>
      <c r="J1" s="4" t="s">
        <v>14</v>
      </c>
      <c r="K1" s="6" t="s">
        <v>15</v>
      </c>
    </row>
    <row r="2" spans="1:11" ht="25.8" x14ac:dyDescent="0.5">
      <c r="A2" s="1">
        <v>98545</v>
      </c>
      <c r="B2" s="1" t="s">
        <v>9</v>
      </c>
      <c r="C2" s="3">
        <v>1000</v>
      </c>
      <c r="D2" s="3">
        <f>C2-SUMIFS(Transações!E:E,Transações!B:B,Contas!A2,Transações!D:D,"Debito")
+ SUMIFS(Transações!E:E,Transações!B:B,Transações!B2,Transações!D:D,"Credito")</f>
        <v>4906</v>
      </c>
      <c r="E2" s="1" t="s">
        <v>10</v>
      </c>
      <c r="F2" s="1" t="s">
        <v>11</v>
      </c>
      <c r="J2" s="1">
        <v>98545</v>
      </c>
      <c r="K2" s="3">
        <f>VLOOKUP(J2,A:D,4,0)</f>
        <v>4906</v>
      </c>
    </row>
    <row r="3" spans="1:11" ht="25.8" x14ac:dyDescent="0.5">
      <c r="A3" s="1">
        <v>67899</v>
      </c>
      <c r="B3" s="1" t="s">
        <v>9</v>
      </c>
      <c r="C3" s="3">
        <v>2000</v>
      </c>
      <c r="D3" s="3">
        <f>C3-SUMIFS(Transações!E:E,Transações!B:B,Contas!A3,Transações!D:D,"Debito")
+ SUMIFS(Transações!E:E,Transações!B:B,Transações!B3,Transações!D:D,"Credito")</f>
        <v>3000</v>
      </c>
      <c r="E3" s="1" t="s">
        <v>12</v>
      </c>
      <c r="F3" s="1" t="s">
        <v>11</v>
      </c>
    </row>
    <row r="4" spans="1:11" ht="25.8" x14ac:dyDescent="0.5">
      <c r="A4" s="1">
        <v>55598</v>
      </c>
      <c r="B4" s="1" t="s">
        <v>9</v>
      </c>
      <c r="C4" s="3">
        <v>1000</v>
      </c>
      <c r="D4" s="3">
        <f>C4-SUMIFS(Transações!E:E,Transações!B:B,Contas!A4,Transações!D:D,"Debito")
+ SUMIFS(Transações!E:E,Transações!B:B,Transações!B4,Transações!D:D,"Credito")</f>
        <v>4906</v>
      </c>
      <c r="E4" s="1" t="s">
        <v>13</v>
      </c>
      <c r="F4" s="1" t="s">
        <v>11</v>
      </c>
    </row>
    <row r="5" spans="1:11" ht="25.8" x14ac:dyDescent="0.5">
      <c r="A5" s="1"/>
      <c r="B5" s="1"/>
      <c r="C5" s="3"/>
      <c r="D5" s="3"/>
      <c r="E5" s="1"/>
      <c r="F5" s="1"/>
    </row>
    <row r="6" spans="1:11" ht="25.8" x14ac:dyDescent="0.5">
      <c r="A6" s="1"/>
      <c r="B6" s="1"/>
      <c r="C6" s="3"/>
      <c r="D6" s="3"/>
      <c r="E6" s="1"/>
      <c r="F6" s="1"/>
    </row>
    <row r="7" spans="1:11" ht="25.8" x14ac:dyDescent="0.5">
      <c r="A7" s="1"/>
      <c r="B7" s="1"/>
      <c r="C7" s="3"/>
      <c r="D7" s="3"/>
      <c r="E7" s="1"/>
      <c r="F7" s="1"/>
    </row>
    <row r="8" spans="1:11" ht="25.8" x14ac:dyDescent="0.5">
      <c r="A8" s="1"/>
      <c r="B8" s="1"/>
      <c r="C8" s="3"/>
      <c r="D8" s="3"/>
      <c r="E8" s="1"/>
      <c r="F8" s="1"/>
    </row>
    <row r="9" spans="1:11" ht="25.8" x14ac:dyDescent="0.5">
      <c r="A9" s="1"/>
      <c r="B9" s="1"/>
      <c r="C9" s="3"/>
      <c r="D9" s="3"/>
      <c r="E9" s="1"/>
      <c r="F9" s="1"/>
    </row>
    <row r="10" spans="1:11" ht="25.8" x14ac:dyDescent="0.5">
      <c r="A10" s="1"/>
      <c r="B10" s="1"/>
      <c r="C10" s="3"/>
      <c r="D10" s="3"/>
      <c r="E10" s="1"/>
      <c r="F10" s="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B750-1ACA-47CD-A15D-096F5441AE5A}">
  <sheetPr codeName="Planilha1"/>
  <dimension ref="D2:K18"/>
  <sheetViews>
    <sheetView showGridLines="0" showRowColHeaders="0" workbookViewId="0">
      <selection activeCell="T8" sqref="T8"/>
    </sheetView>
  </sheetViews>
  <sheetFormatPr defaultRowHeight="14.4" x14ac:dyDescent="0.3"/>
  <sheetData>
    <row r="2" spans="4:11" x14ac:dyDescent="0.3">
      <c r="D2">
        <f>C2-SUMIFS(Transações!E:E,Transações!B:B,Contas!A2,Transações!D:D,"Debito")
+ SUMIFS(Transações!E:E,Transações!B:B,Transações!B2,Transações!D:D,"Credito")</f>
        <v>3906</v>
      </c>
    </row>
    <row r="3" spans="4:11" x14ac:dyDescent="0.3">
      <c r="D3" s="22" t="s">
        <v>0</v>
      </c>
      <c r="E3" s="22"/>
      <c r="F3" s="22"/>
      <c r="G3" s="22"/>
      <c r="H3" s="22"/>
      <c r="I3" s="22"/>
      <c r="J3" s="22"/>
      <c r="K3" s="22"/>
    </row>
    <row r="4" spans="4:11" x14ac:dyDescent="0.3">
      <c r="D4" s="22"/>
      <c r="E4" s="22"/>
      <c r="F4" s="22"/>
      <c r="G4" s="22"/>
      <c r="H4" s="22"/>
      <c r="I4" s="22"/>
      <c r="J4" s="22"/>
      <c r="K4" s="22"/>
    </row>
    <row r="5" spans="4:11" x14ac:dyDescent="0.3">
      <c r="D5" s="22"/>
      <c r="E5" s="22"/>
      <c r="F5" s="22"/>
      <c r="G5" s="22"/>
      <c r="H5" s="22"/>
      <c r="I5" s="22"/>
      <c r="J5" s="22"/>
      <c r="K5" s="22"/>
    </row>
    <row r="10" spans="4:11" ht="33.6" x14ac:dyDescent="0.65">
      <c r="E10" s="2" t="s">
        <v>2</v>
      </c>
    </row>
    <row r="18" spans="5:5" ht="33.6" x14ac:dyDescent="0.65">
      <c r="E18" s="2" t="s">
        <v>3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btnLogar">
          <controlPr defaultSize="0" autoLine="0" autoPict="0" r:id="rId5">
            <anchor moveWithCells="1">
              <from>
                <xdr:col>4</xdr:col>
                <xdr:colOff>106680</xdr:colOff>
                <xdr:row>23</xdr:row>
                <xdr:rowOff>45720</xdr:rowOff>
              </from>
              <to>
                <xdr:col>11</xdr:col>
                <xdr:colOff>30480</xdr:colOff>
                <xdr:row>26</xdr:row>
                <xdr:rowOff>30480</xdr:rowOff>
              </to>
            </anchor>
          </controlPr>
        </control>
      </mc:Choice>
      <mc:Fallback>
        <control shapeId="1027" r:id="rId4" name="btnLogar"/>
      </mc:Fallback>
    </mc:AlternateContent>
    <mc:AlternateContent xmlns:mc="http://schemas.openxmlformats.org/markup-compatibility/2006">
      <mc:Choice Requires="x14">
        <control shapeId="1026" r:id="rId6" name="txtSenha">
          <controlPr defaultSize="0" autoLine="0" r:id="rId7">
            <anchor moveWithCells="1">
              <from>
                <xdr:col>4</xdr:col>
                <xdr:colOff>121920</xdr:colOff>
                <xdr:row>18</xdr:row>
                <xdr:rowOff>106680</xdr:rowOff>
              </from>
              <to>
                <xdr:col>10</xdr:col>
                <xdr:colOff>571500</xdr:colOff>
                <xdr:row>21</xdr:row>
                <xdr:rowOff>152400</xdr:rowOff>
              </to>
            </anchor>
          </controlPr>
        </control>
      </mc:Choice>
      <mc:Fallback>
        <control shapeId="1026" r:id="rId6" name="txtSenha"/>
      </mc:Fallback>
    </mc:AlternateContent>
    <mc:AlternateContent xmlns:mc="http://schemas.openxmlformats.org/markup-compatibility/2006">
      <mc:Choice Requires="x14">
        <control shapeId="1025" r:id="rId8" name="txtConta">
          <controlPr defaultSize="0" autoLine="0" r:id="rId9">
            <anchor moveWithCells="1">
              <from>
                <xdr:col>4</xdr:col>
                <xdr:colOff>83820</xdr:colOff>
                <xdr:row>10</xdr:row>
                <xdr:rowOff>91440</xdr:rowOff>
              </from>
              <to>
                <xdr:col>10</xdr:col>
                <xdr:colOff>533400</xdr:colOff>
                <xdr:row>13</xdr:row>
                <xdr:rowOff>137160</xdr:rowOff>
              </to>
            </anchor>
          </controlPr>
        </control>
      </mc:Choice>
      <mc:Fallback>
        <control shapeId="1025" r:id="rId8" name="txtCon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FD83-E386-4F1C-A170-3E84FCDA188A}">
  <sheetPr codeName="Planilha3"/>
  <dimension ref="E5:P20"/>
  <sheetViews>
    <sheetView showGridLines="0" showRowColHeaders="0" workbookViewId="0"/>
  </sheetViews>
  <sheetFormatPr defaultRowHeight="14.4" x14ac:dyDescent="0.3"/>
  <sheetData>
    <row r="5" spans="5:16" ht="31.2" x14ac:dyDescent="0.6">
      <c r="E5" s="23" t="s">
        <v>16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7" spans="5:16" ht="31.2" x14ac:dyDescent="0.6">
      <c r="E7" s="23" t="s">
        <v>17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20" ht="17.399999999999999" customHeight="1" x14ac:dyDescent="0.3"/>
  </sheetData>
  <mergeCells count="2">
    <mergeCell ref="E5:P5"/>
    <mergeCell ref="E7:P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88C-CEB2-4286-BCB7-A25D607F55DC}">
  <sheetPr codeName="Planilha4"/>
  <dimension ref="C2:T26"/>
  <sheetViews>
    <sheetView showGridLines="0" showRowColHeaders="0" zoomScale="85" zoomScaleNormal="85" workbookViewId="0">
      <selection activeCell="G2" sqref="G2:I2"/>
    </sheetView>
  </sheetViews>
  <sheetFormatPr defaultRowHeight="14.4" x14ac:dyDescent="0.3"/>
  <cols>
    <col min="3" max="3" width="11.21875" bestFit="1" customWidth="1"/>
    <col min="4" max="4" width="10.88671875" bestFit="1" customWidth="1"/>
    <col min="9" max="9" width="12.21875" bestFit="1" customWidth="1"/>
  </cols>
  <sheetData>
    <row r="2" spans="3:20" ht="25.8" x14ac:dyDescent="0.5">
      <c r="C2" s="1" t="s">
        <v>2</v>
      </c>
      <c r="D2" s="1">
        <f>Contas!J2</f>
        <v>98545</v>
      </c>
      <c r="F2" s="1" t="s">
        <v>15</v>
      </c>
      <c r="G2" s="26">
        <f>VLOOKUP($D$2,Contas!$A:$F,4,FALSE)</f>
        <v>4906</v>
      </c>
      <c r="H2" s="26"/>
      <c r="I2" s="26"/>
      <c r="K2" s="25"/>
      <c r="L2" s="25"/>
      <c r="M2" s="25" t="str">
        <f>VLOOKUP($D$2,Contas!A:F,5,FALSE)</f>
        <v>Allan</v>
      </c>
      <c r="N2" s="25"/>
    </row>
    <row r="3" spans="3:20" x14ac:dyDescent="0.3">
      <c r="I3" s="15"/>
    </row>
    <row r="4" spans="3:20" ht="25.8" x14ac:dyDescent="0.5">
      <c r="P4" s="1"/>
    </row>
    <row r="5" spans="3:20" ht="31.2" x14ac:dyDescent="0.6">
      <c r="E5" s="23" t="s">
        <v>19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</row>
    <row r="6" spans="3:20" ht="31.2" x14ac:dyDescent="0.6">
      <c r="E6" s="23" t="s">
        <v>20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</row>
    <row r="7" spans="3:20" ht="25.8" x14ac:dyDescent="0.5">
      <c r="E7" s="1"/>
    </row>
    <row r="11" spans="3:20" x14ac:dyDescent="0.3">
      <c r="Q11" s="9"/>
    </row>
    <row r="13" spans="3:20" ht="31.2" x14ac:dyDescent="0.6">
      <c r="I13" s="10" t="s">
        <v>18</v>
      </c>
    </row>
    <row r="15" spans="3:20" ht="25.8" x14ac:dyDescent="0.5">
      <c r="G15" s="25" t="s">
        <v>21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</row>
    <row r="18" spans="7:20" ht="14.4" customHeight="1" x14ac:dyDescent="0.3">
      <c r="G18" s="24" t="s">
        <v>22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</row>
    <row r="19" spans="7:20" ht="14.4" customHeight="1" x14ac:dyDescent="0.3"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</row>
    <row r="20" spans="7:20" ht="14.4" customHeight="1" x14ac:dyDescent="0.3"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</row>
    <row r="21" spans="7:20" x14ac:dyDescent="0.3"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</row>
    <row r="22" spans="7:20" x14ac:dyDescent="0.3"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</row>
    <row r="26" spans="7:20" ht="25.8" x14ac:dyDescent="0.5">
      <c r="P26" s="1"/>
    </row>
  </sheetData>
  <mergeCells count="7">
    <mergeCell ref="G18:T22"/>
    <mergeCell ref="E5:T5"/>
    <mergeCell ref="E6:T6"/>
    <mergeCell ref="G15:T15"/>
    <mergeCell ref="G2:I2"/>
    <mergeCell ref="K2:L2"/>
    <mergeCell ref="M2:N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8" r:id="rId4" name="txtValor">
          <controlPr defaultSize="0" autoLine="0" r:id="rId5">
            <anchor moveWithCells="1">
              <from>
                <xdr:col>9</xdr:col>
                <xdr:colOff>129540</xdr:colOff>
                <xdr:row>12</xdr:row>
                <xdr:rowOff>0</xdr:rowOff>
              </from>
              <to>
                <xdr:col>13</xdr:col>
                <xdr:colOff>152400</xdr:colOff>
                <xdr:row>13</xdr:row>
                <xdr:rowOff>106680</xdr:rowOff>
              </to>
            </anchor>
          </controlPr>
        </control>
      </mc:Choice>
      <mc:Fallback>
        <control shapeId="4098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9546F-CDA3-4DD4-A27D-534D1C6DAFEA}">
  <sheetPr codeName="Planilha7"/>
  <dimension ref="C2:P22"/>
  <sheetViews>
    <sheetView showGridLines="0" showRowColHeaders="0" tabSelected="1" workbookViewId="0">
      <selection activeCell="P4" sqref="P4"/>
    </sheetView>
  </sheetViews>
  <sheetFormatPr defaultRowHeight="14.4" x14ac:dyDescent="0.3"/>
  <cols>
    <col min="3" max="3" width="11.21875" bestFit="1" customWidth="1"/>
    <col min="4" max="4" width="10.88671875" bestFit="1" customWidth="1"/>
    <col min="9" max="9" width="12.21875" bestFit="1" customWidth="1"/>
  </cols>
  <sheetData>
    <row r="2" spans="3:16" ht="25.8" x14ac:dyDescent="0.5">
      <c r="C2" s="1" t="s">
        <v>2</v>
      </c>
      <c r="D2" s="1">
        <f>Contas!J2</f>
        <v>98545</v>
      </c>
      <c r="F2" s="1" t="s">
        <v>15</v>
      </c>
      <c r="G2" s="26">
        <f>VLOOKUP($D$2,Contas!$A:$F,4,FALSE)</f>
        <v>4906</v>
      </c>
      <c r="H2" s="26"/>
      <c r="I2" s="26"/>
      <c r="K2" s="25"/>
      <c r="L2" s="25"/>
      <c r="M2" s="25" t="str">
        <f>VLOOKUP($D$2,Contas!A:F,5,FALSE)</f>
        <v>Allan</v>
      </c>
      <c r="N2" s="25"/>
    </row>
    <row r="3" spans="3:16" x14ac:dyDescent="0.3">
      <c r="I3" s="15"/>
    </row>
    <row r="4" spans="3:16" ht="25.8" x14ac:dyDescent="0.5">
      <c r="P4" s="1"/>
    </row>
    <row r="5" spans="3:16" ht="31.2" x14ac:dyDescent="0.6">
      <c r="E5" s="23" t="s">
        <v>32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3:16" ht="31.2" x14ac:dyDescent="0.6">
      <c r="E6" s="23" t="s">
        <v>31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12" spans="3:16" ht="25.8" x14ac:dyDescent="0.5">
      <c r="P12" s="1"/>
    </row>
    <row r="13" spans="3:16" ht="31.2" x14ac:dyDescent="0.6">
      <c r="I13" s="10" t="s">
        <v>18</v>
      </c>
    </row>
    <row r="18" spans="8:8" ht="14.4" customHeight="1" x14ac:dyDescent="0.3"/>
    <row r="19" spans="8:8" ht="14.4" customHeight="1" x14ac:dyDescent="0.5">
      <c r="H19" s="1"/>
    </row>
    <row r="20" spans="8:8" ht="14.4" customHeight="1" x14ac:dyDescent="0.3"/>
    <row r="21" spans="8:8" ht="14.4" customHeight="1" x14ac:dyDescent="0.3"/>
    <row r="22" spans="8:8" ht="14.4" customHeight="1" x14ac:dyDescent="0.3"/>
  </sheetData>
  <mergeCells count="5">
    <mergeCell ref="G2:I2"/>
    <mergeCell ref="K2:L2"/>
    <mergeCell ref="M2:N2"/>
    <mergeCell ref="E5:P5"/>
    <mergeCell ref="E6:P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txtValor">
          <controlPr defaultSize="0" autoLine="0" r:id="rId5">
            <anchor moveWithCells="1">
              <from>
                <xdr:col>9</xdr:col>
                <xdr:colOff>30480</xdr:colOff>
                <xdr:row>11</xdr:row>
                <xdr:rowOff>76200</xdr:rowOff>
              </from>
              <to>
                <xdr:col>13</xdr:col>
                <xdr:colOff>53340</xdr:colOff>
                <xdr:row>12</xdr:row>
                <xdr:rowOff>251460</xdr:rowOff>
              </to>
            </anchor>
          </controlPr>
        </control>
      </mc:Choice>
      <mc:Fallback>
        <control shapeId="8193" r:id="rId4" name="txtValo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B9E01-FED3-474D-8465-FC8C93B1D220}">
  <sheetPr codeName="Planilha9"/>
  <dimension ref="C2:R15"/>
  <sheetViews>
    <sheetView showGridLines="0" showRowColHeaders="0" workbookViewId="0">
      <selection activeCell="G2" sqref="G2:I2"/>
    </sheetView>
  </sheetViews>
  <sheetFormatPr defaultRowHeight="14.4" x14ac:dyDescent="0.3"/>
  <cols>
    <col min="3" max="3" width="11.21875" bestFit="1" customWidth="1"/>
    <col min="4" max="4" width="10.88671875" bestFit="1" customWidth="1"/>
  </cols>
  <sheetData>
    <row r="2" spans="3:18" ht="25.8" x14ac:dyDescent="0.5">
      <c r="C2" s="1" t="s">
        <v>2</v>
      </c>
      <c r="D2" s="1">
        <f>Contas!J2</f>
        <v>98545</v>
      </c>
      <c r="F2" s="1" t="s">
        <v>15</v>
      </c>
      <c r="G2" s="26">
        <f>VLOOKUP($D$2,Contas!$A:$F,4,FALSE)</f>
        <v>4906</v>
      </c>
      <c r="H2" s="26"/>
      <c r="I2" s="26"/>
      <c r="K2" s="25"/>
      <c r="L2" s="25"/>
      <c r="M2" s="25" t="str">
        <f>VLOOKUP($D$2,Contas!A:F,5,FALSE)</f>
        <v>Allan</v>
      </c>
      <c r="N2" s="25"/>
    </row>
    <row r="3" spans="3:18" x14ac:dyDescent="0.3">
      <c r="I3" s="15"/>
    </row>
    <row r="5" spans="3:18" ht="31.2" x14ac:dyDescent="0.6"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7" spans="3:18" ht="31.2" x14ac:dyDescent="0.6">
      <c r="E7" s="23" t="s">
        <v>35</v>
      </c>
      <c r="F7" s="23"/>
      <c r="G7" s="23"/>
      <c r="H7" s="23"/>
      <c r="I7" s="23"/>
      <c r="J7" s="23"/>
      <c r="K7" s="23"/>
      <c r="L7" s="23"/>
      <c r="M7" s="23"/>
      <c r="N7" s="23"/>
      <c r="O7" s="23"/>
    </row>
    <row r="8" spans="3:18" ht="25.8" x14ac:dyDescent="0.5">
      <c r="R8" s="1"/>
    </row>
    <row r="11" spans="3:18" ht="31.2" x14ac:dyDescent="0.6">
      <c r="D11" s="27" t="s">
        <v>36</v>
      </c>
      <c r="E11" s="27"/>
      <c r="F11" s="27"/>
      <c r="G11" s="27"/>
    </row>
    <row r="12" spans="3:18" ht="14.4" customHeight="1" x14ac:dyDescent="0.5">
      <c r="C12" s="1"/>
    </row>
    <row r="13" spans="3:18" ht="31.2" x14ac:dyDescent="0.6">
      <c r="F13" s="27" t="s">
        <v>18</v>
      </c>
      <c r="G13" s="27"/>
    </row>
    <row r="15" spans="3:18" ht="25.8" x14ac:dyDescent="0.5">
      <c r="D15" s="28" t="s">
        <v>37</v>
      </c>
      <c r="E15" s="28"/>
      <c r="F15" s="28"/>
      <c r="G15" s="28"/>
    </row>
  </sheetData>
  <mergeCells count="7">
    <mergeCell ref="F13:G13"/>
    <mergeCell ref="D15:G15"/>
    <mergeCell ref="G2:I2"/>
    <mergeCell ref="K2:L2"/>
    <mergeCell ref="M2:N2"/>
    <mergeCell ref="E7:O7"/>
    <mergeCell ref="D11:G1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9" r:id="rId4" name="txtBeneficiario">
          <controlPr defaultSize="0" autoLine="0" autoPict="0" r:id="rId5">
            <anchor moveWithCells="1">
              <from>
                <xdr:col>7</xdr:col>
                <xdr:colOff>594360</xdr:colOff>
                <xdr:row>14</xdr:row>
                <xdr:rowOff>7620</xdr:rowOff>
              </from>
              <to>
                <xdr:col>14</xdr:col>
                <xdr:colOff>30480</xdr:colOff>
                <xdr:row>15</xdr:row>
                <xdr:rowOff>91440</xdr:rowOff>
              </to>
            </anchor>
          </controlPr>
        </control>
      </mc:Choice>
      <mc:Fallback>
        <control shapeId="9219" r:id="rId4" name="txtBeneficiario"/>
      </mc:Fallback>
    </mc:AlternateContent>
    <mc:AlternateContent xmlns:mc="http://schemas.openxmlformats.org/markup-compatibility/2006">
      <mc:Choice Requires="x14">
        <control shapeId="9218" r:id="rId6" name="txtValor">
          <controlPr defaultSize="0" autoLine="0" autoPict="0" r:id="rId7">
            <anchor moveWithCells="1">
              <from>
                <xdr:col>7</xdr:col>
                <xdr:colOff>601980</xdr:colOff>
                <xdr:row>12</xdr:row>
                <xdr:rowOff>0</xdr:rowOff>
              </from>
              <to>
                <xdr:col>14</xdr:col>
                <xdr:colOff>7620</xdr:colOff>
                <xdr:row>13</xdr:row>
                <xdr:rowOff>15240</xdr:rowOff>
              </to>
            </anchor>
          </controlPr>
        </control>
      </mc:Choice>
      <mc:Fallback>
        <control shapeId="9218" r:id="rId6" name="txtValor"/>
      </mc:Fallback>
    </mc:AlternateContent>
    <mc:AlternateContent xmlns:mc="http://schemas.openxmlformats.org/markup-compatibility/2006">
      <mc:Choice Requires="x14">
        <control shapeId="9217" r:id="rId8" name="txtCodigoDeBarras">
          <controlPr defaultSize="0" autoLine="0" autoPict="0" r:id="rId9">
            <anchor moveWithCells="1">
              <from>
                <xdr:col>7</xdr:col>
                <xdr:colOff>594360</xdr:colOff>
                <xdr:row>10</xdr:row>
                <xdr:rowOff>0</xdr:rowOff>
              </from>
              <to>
                <xdr:col>14</xdr:col>
                <xdr:colOff>15240</xdr:colOff>
                <xdr:row>11</xdr:row>
                <xdr:rowOff>15240</xdr:rowOff>
              </to>
            </anchor>
          </controlPr>
        </control>
      </mc:Choice>
      <mc:Fallback>
        <control shapeId="9217" r:id="rId8" name="txtCodigoDeBarr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B7AF1-85B3-44D1-BB2D-2462DC636139}">
  <sheetPr codeName="Planilha8"/>
  <dimension ref="B2:P19"/>
  <sheetViews>
    <sheetView showGridLines="0" showRowColHeaders="0" workbookViewId="0">
      <selection activeCell="G2" sqref="G2:I2"/>
    </sheetView>
  </sheetViews>
  <sheetFormatPr defaultRowHeight="14.4" x14ac:dyDescent="0.3"/>
  <cols>
    <col min="3" max="3" width="11.21875" bestFit="1" customWidth="1"/>
    <col min="4" max="4" width="10.88671875" bestFit="1" customWidth="1"/>
  </cols>
  <sheetData>
    <row r="2" spans="2:15" ht="25.8" x14ac:dyDescent="0.5">
      <c r="C2" s="1" t="s">
        <v>2</v>
      </c>
      <c r="D2" s="1">
        <f>Contas!J2</f>
        <v>98545</v>
      </c>
      <c r="F2" s="1" t="s">
        <v>15</v>
      </c>
      <c r="G2" s="26">
        <f>VLOOKUP($D$2,Contas!$A:$F,4,FALSE)</f>
        <v>4906</v>
      </c>
      <c r="H2" s="26"/>
      <c r="I2" s="26"/>
      <c r="K2" s="25"/>
      <c r="L2" s="25"/>
      <c r="M2" s="25" t="str">
        <f>VLOOKUP($D$2,Contas!A:F,5,FALSE)</f>
        <v>Allan</v>
      </c>
      <c r="N2" s="25"/>
    </row>
    <row r="3" spans="2:15" x14ac:dyDescent="0.3">
      <c r="I3" s="15"/>
    </row>
    <row r="4" spans="2:15" ht="25.8" x14ac:dyDescent="0.5">
      <c r="B4" s="18"/>
      <c r="C4" s="19"/>
    </row>
    <row r="5" spans="2:15" ht="31.2" x14ac:dyDescent="0.6"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7" spans="2:15" ht="31.2" x14ac:dyDescent="0.6">
      <c r="C7" s="23" t="s">
        <v>42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</row>
    <row r="19" spans="16:16" ht="25.8" x14ac:dyDescent="0.5">
      <c r="P19" s="1"/>
    </row>
  </sheetData>
  <mergeCells count="4">
    <mergeCell ref="G2:I2"/>
    <mergeCell ref="K2:L2"/>
    <mergeCell ref="M2:N2"/>
    <mergeCell ref="C7:O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4EDCA-7C81-42D5-B10C-F7FBF817445A}">
  <sheetPr codeName="Planilha10"/>
  <dimension ref="B1:G39"/>
  <sheetViews>
    <sheetView showGridLines="0" showRowColHeaders="0" workbookViewId="0">
      <selection activeCell="G24" sqref="G24"/>
    </sheetView>
  </sheetViews>
  <sheetFormatPr defaultRowHeight="14.4" x14ac:dyDescent="0.3"/>
  <cols>
    <col min="2" max="3" width="19.6640625" bestFit="1" customWidth="1"/>
    <col min="4" max="4" width="16.77734375" bestFit="1" customWidth="1"/>
    <col min="5" max="5" width="18" customWidth="1"/>
    <col min="6" max="6" width="21.77734375" bestFit="1" customWidth="1"/>
    <col min="7" max="7" width="53.33203125" bestFit="1" customWidth="1"/>
  </cols>
  <sheetData>
    <row r="1" spans="2:7" ht="15" thickBot="1" x14ac:dyDescent="0.35"/>
    <row r="2" spans="2:7" ht="26.4" thickBot="1" x14ac:dyDescent="0.55000000000000004">
      <c r="B2" s="13" t="s">
        <v>44</v>
      </c>
      <c r="C2" s="14" t="s">
        <v>45</v>
      </c>
    </row>
    <row r="3" spans="2:7" ht="26.4" thickBot="1" x14ac:dyDescent="0.55000000000000004">
      <c r="B3" s="17"/>
      <c r="C3" s="17"/>
    </row>
    <row r="4" spans="2:7" ht="26.4" thickBot="1" x14ac:dyDescent="0.55000000000000004">
      <c r="B4" s="21">
        <f ca="1">C4-30</f>
        <v>45032</v>
      </c>
      <c r="C4" s="20">
        <f ca="1">TODAY()</f>
        <v>45062</v>
      </c>
      <c r="D4" s="14" t="s">
        <v>25</v>
      </c>
      <c r="E4" s="14" t="s">
        <v>26</v>
      </c>
      <c r="F4" s="14" t="s">
        <v>27</v>
      </c>
      <c r="G4" s="14" t="s">
        <v>28</v>
      </c>
    </row>
    <row r="5" spans="2:7" x14ac:dyDescent="0.3">
      <c r="B5">
        <v>67899</v>
      </c>
      <c r="C5" t="s">
        <v>12</v>
      </c>
      <c r="D5" t="s">
        <v>30</v>
      </c>
      <c r="E5">
        <v>200</v>
      </c>
      <c r="F5">
        <v>45042</v>
      </c>
      <c r="G5" t="s">
        <v>29</v>
      </c>
    </row>
    <row r="6" spans="2:7" x14ac:dyDescent="0.3">
      <c r="B6">
        <v>67899</v>
      </c>
      <c r="C6" t="s">
        <v>12</v>
      </c>
      <c r="D6" t="s">
        <v>30</v>
      </c>
      <c r="E6">
        <v>100</v>
      </c>
      <c r="F6">
        <v>45042</v>
      </c>
      <c r="G6" t="s">
        <v>29</v>
      </c>
    </row>
    <row r="7" spans="2:7" x14ac:dyDescent="0.3">
      <c r="B7">
        <v>67899</v>
      </c>
      <c r="C7" t="s">
        <v>12</v>
      </c>
      <c r="D7" t="s">
        <v>30</v>
      </c>
      <c r="E7">
        <v>250</v>
      </c>
      <c r="F7">
        <v>45043</v>
      </c>
      <c r="G7" t="s">
        <v>29</v>
      </c>
    </row>
    <row r="8" spans="2:7" x14ac:dyDescent="0.3">
      <c r="B8">
        <v>67899</v>
      </c>
      <c r="C8" t="s">
        <v>12</v>
      </c>
      <c r="D8" t="s">
        <v>30</v>
      </c>
      <c r="E8">
        <v>362</v>
      </c>
      <c r="F8">
        <v>45043</v>
      </c>
      <c r="G8" t="s">
        <v>29</v>
      </c>
    </row>
    <row r="9" spans="2:7" x14ac:dyDescent="0.3">
      <c r="B9">
        <v>67899</v>
      </c>
      <c r="C9" t="s">
        <v>12</v>
      </c>
      <c r="D9" t="s">
        <v>30</v>
      </c>
      <c r="E9">
        <v>200</v>
      </c>
      <c r="F9">
        <v>45042</v>
      </c>
      <c r="G9" t="s">
        <v>29</v>
      </c>
    </row>
    <row r="10" spans="2:7" x14ac:dyDescent="0.3">
      <c r="B10">
        <v>67899</v>
      </c>
      <c r="C10" t="s">
        <v>12</v>
      </c>
      <c r="D10" t="s">
        <v>30</v>
      </c>
      <c r="E10">
        <v>100</v>
      </c>
      <c r="F10">
        <v>45042</v>
      </c>
      <c r="G10" t="s">
        <v>29</v>
      </c>
    </row>
    <row r="11" spans="2:7" x14ac:dyDescent="0.3">
      <c r="B11">
        <v>67899</v>
      </c>
      <c r="C11" t="s">
        <v>12</v>
      </c>
      <c r="D11" t="s">
        <v>30</v>
      </c>
      <c r="E11">
        <v>250</v>
      </c>
      <c r="F11">
        <v>45043</v>
      </c>
      <c r="G11" t="s">
        <v>29</v>
      </c>
    </row>
    <row r="12" spans="2:7" x14ac:dyDescent="0.3">
      <c r="B12">
        <v>67899</v>
      </c>
      <c r="C12" t="s">
        <v>12</v>
      </c>
      <c r="D12" t="s">
        <v>30</v>
      </c>
      <c r="E12">
        <v>362</v>
      </c>
      <c r="F12">
        <v>45043</v>
      </c>
      <c r="G12" t="s">
        <v>29</v>
      </c>
    </row>
    <row r="13" spans="2:7" x14ac:dyDescent="0.3">
      <c r="B13">
        <v>67899</v>
      </c>
      <c r="C13" t="s">
        <v>12</v>
      </c>
      <c r="D13" t="s">
        <v>30</v>
      </c>
      <c r="E13">
        <v>367</v>
      </c>
      <c r="F13">
        <v>45043</v>
      </c>
      <c r="G13" t="s">
        <v>29</v>
      </c>
    </row>
    <row r="14" spans="2:7" x14ac:dyDescent="0.3">
      <c r="B14">
        <v>67899</v>
      </c>
      <c r="C14" t="s">
        <v>12</v>
      </c>
      <c r="D14" t="s">
        <v>33</v>
      </c>
      <c r="E14">
        <v>300</v>
      </c>
      <c r="F14">
        <v>45043</v>
      </c>
      <c r="G14" t="s">
        <v>34</v>
      </c>
    </row>
    <row r="15" spans="2:7" x14ac:dyDescent="0.3">
      <c r="B15">
        <v>67899</v>
      </c>
      <c r="C15" t="s">
        <v>12</v>
      </c>
      <c r="D15" t="s">
        <v>33</v>
      </c>
      <c r="E15">
        <v>300</v>
      </c>
      <c r="F15">
        <v>45043</v>
      </c>
      <c r="G15" t="s">
        <v>34</v>
      </c>
    </row>
    <row r="16" spans="2:7" x14ac:dyDescent="0.3">
      <c r="B16">
        <v>67899</v>
      </c>
      <c r="C16" t="s">
        <v>12</v>
      </c>
      <c r="D16" t="s">
        <v>30</v>
      </c>
      <c r="E16">
        <v>150</v>
      </c>
      <c r="F16">
        <v>45043</v>
      </c>
      <c r="G16" t="s">
        <v>38</v>
      </c>
    </row>
    <row r="17" spans="2:7" x14ac:dyDescent="0.3">
      <c r="B17">
        <v>67899</v>
      </c>
      <c r="C17" t="s">
        <v>12</v>
      </c>
      <c r="D17" t="s">
        <v>30</v>
      </c>
      <c r="E17">
        <v>200</v>
      </c>
      <c r="F17">
        <v>45043</v>
      </c>
      <c r="G17" t="s">
        <v>39</v>
      </c>
    </row>
    <row r="18" spans="2:7" x14ac:dyDescent="0.3">
      <c r="B18">
        <v>67899</v>
      </c>
      <c r="C18" t="s">
        <v>12</v>
      </c>
      <c r="D18" t="s">
        <v>30</v>
      </c>
      <c r="E18">
        <v>171</v>
      </c>
      <c r="F18">
        <v>45048</v>
      </c>
      <c r="G18" t="s">
        <v>40</v>
      </c>
    </row>
    <row r="19" spans="2:7" x14ac:dyDescent="0.3">
      <c r="B19">
        <v>67899</v>
      </c>
      <c r="C19" t="s">
        <v>12</v>
      </c>
      <c r="D19" t="s">
        <v>30</v>
      </c>
      <c r="E19">
        <v>100</v>
      </c>
      <c r="F19">
        <v>45048</v>
      </c>
      <c r="G19" t="s">
        <v>41</v>
      </c>
    </row>
    <row r="20" spans="2:7" x14ac:dyDescent="0.3">
      <c r="B20">
        <v>67899</v>
      </c>
      <c r="C20" t="s">
        <v>12</v>
      </c>
      <c r="D20" t="s">
        <v>33</v>
      </c>
      <c r="E20">
        <v>200</v>
      </c>
      <c r="F20">
        <v>45054</v>
      </c>
      <c r="G20" t="s">
        <v>34</v>
      </c>
    </row>
    <row r="21" spans="2:7" x14ac:dyDescent="0.3">
      <c r="B21">
        <v>67899</v>
      </c>
      <c r="C21" t="s">
        <v>12</v>
      </c>
      <c r="D21" t="s">
        <v>33</v>
      </c>
      <c r="E21">
        <v>400</v>
      </c>
      <c r="F21">
        <v>45054</v>
      </c>
      <c r="G21" t="s">
        <v>34</v>
      </c>
    </row>
    <row r="22" spans="2:7" x14ac:dyDescent="0.3">
      <c r="B22">
        <v>67899</v>
      </c>
      <c r="C22" t="s">
        <v>12</v>
      </c>
      <c r="D22" t="s">
        <v>30</v>
      </c>
      <c r="E22">
        <v>150</v>
      </c>
      <c r="F22">
        <v>45054</v>
      </c>
      <c r="G22" t="s">
        <v>43</v>
      </c>
    </row>
    <row r="23" spans="2:7" x14ac:dyDescent="0.3">
      <c r="B23">
        <v>67899</v>
      </c>
      <c r="C23" t="s">
        <v>12</v>
      </c>
      <c r="D23" t="s">
        <v>33</v>
      </c>
      <c r="F23">
        <v>45062</v>
      </c>
      <c r="G23" t="s">
        <v>34</v>
      </c>
    </row>
    <row r="24" spans="2:7" x14ac:dyDescent="0.3">
      <c r="B24">
        <v>67899</v>
      </c>
      <c r="C24" t="s">
        <v>12</v>
      </c>
      <c r="D24" t="s">
        <v>33</v>
      </c>
      <c r="E24">
        <v>100</v>
      </c>
      <c r="F24">
        <v>45062</v>
      </c>
      <c r="G24" t="s">
        <v>34</v>
      </c>
    </row>
    <row r="25" spans="2:7" x14ac:dyDescent="0.3">
      <c r="B25">
        <v>67899</v>
      </c>
      <c r="C25" t="s">
        <v>12</v>
      </c>
      <c r="D25" t="s">
        <v>30</v>
      </c>
      <c r="E25">
        <v>50</v>
      </c>
      <c r="F25">
        <v>45062</v>
      </c>
      <c r="G25" t="s">
        <v>29</v>
      </c>
    </row>
    <row r="26" spans="2:7" x14ac:dyDescent="0.3">
      <c r="B26">
        <v>67899</v>
      </c>
      <c r="C26" t="s">
        <v>12</v>
      </c>
      <c r="D26" t="s">
        <v>30</v>
      </c>
      <c r="E26">
        <v>100</v>
      </c>
      <c r="F26">
        <v>45062</v>
      </c>
      <c r="G26" t="s">
        <v>29</v>
      </c>
    </row>
    <row r="27" spans="2:7" x14ac:dyDescent="0.3">
      <c r="B27">
        <v>67899</v>
      </c>
      <c r="C27" t="s">
        <v>12</v>
      </c>
      <c r="D27" t="s">
        <v>30</v>
      </c>
      <c r="E27">
        <v>40</v>
      </c>
      <c r="F27">
        <v>45062</v>
      </c>
      <c r="G27" t="s">
        <v>29</v>
      </c>
    </row>
    <row r="28" spans="2:7" x14ac:dyDescent="0.3">
      <c r="B28">
        <v>67899</v>
      </c>
      <c r="C28" t="s">
        <v>12</v>
      </c>
      <c r="D28" t="s">
        <v>30</v>
      </c>
      <c r="E28">
        <v>54</v>
      </c>
      <c r="F28">
        <v>45062</v>
      </c>
      <c r="G28" t="s">
        <v>29</v>
      </c>
    </row>
    <row r="29" spans="2:7" x14ac:dyDescent="0.3">
      <c r="B29">
        <v>67899</v>
      </c>
      <c r="C29" t="s">
        <v>12</v>
      </c>
      <c r="D29" t="s">
        <v>33</v>
      </c>
      <c r="E29">
        <v>154</v>
      </c>
      <c r="F29">
        <v>45062</v>
      </c>
      <c r="G29" t="s">
        <v>34</v>
      </c>
    </row>
    <row r="30" spans="2:7" x14ac:dyDescent="0.3">
      <c r="B30">
        <v>67899</v>
      </c>
      <c r="C30" t="s">
        <v>12</v>
      </c>
      <c r="D30" t="s">
        <v>30</v>
      </c>
      <c r="E30">
        <v>20</v>
      </c>
      <c r="F30">
        <v>45062</v>
      </c>
      <c r="G30" t="s">
        <v>29</v>
      </c>
    </row>
    <row r="31" spans="2:7" x14ac:dyDescent="0.3">
      <c r="B31">
        <v>67899</v>
      </c>
      <c r="C31" t="s">
        <v>12</v>
      </c>
      <c r="D31" t="s">
        <v>30</v>
      </c>
      <c r="E31">
        <v>20</v>
      </c>
      <c r="F31">
        <v>45062</v>
      </c>
      <c r="G31" t="s">
        <v>29</v>
      </c>
    </row>
    <row r="32" spans="2:7" x14ac:dyDescent="0.3">
      <c r="B32">
        <v>67899</v>
      </c>
      <c r="C32" t="s">
        <v>12</v>
      </c>
      <c r="D32" t="s">
        <v>30</v>
      </c>
      <c r="E32">
        <v>20</v>
      </c>
      <c r="F32">
        <v>45062</v>
      </c>
      <c r="G32" t="s">
        <v>29</v>
      </c>
    </row>
    <row r="33" spans="2:7" x14ac:dyDescent="0.3">
      <c r="B33">
        <v>67899</v>
      </c>
      <c r="C33" t="s">
        <v>12</v>
      </c>
      <c r="D33" t="s">
        <v>33</v>
      </c>
      <c r="E33">
        <v>1400</v>
      </c>
      <c r="F33">
        <v>45062</v>
      </c>
      <c r="G33" t="s">
        <v>34</v>
      </c>
    </row>
    <row r="34" spans="2:7" x14ac:dyDescent="0.3">
      <c r="B34">
        <v>67899</v>
      </c>
      <c r="C34" t="s">
        <v>12</v>
      </c>
      <c r="D34" t="s">
        <v>30</v>
      </c>
      <c r="E34">
        <v>100</v>
      </c>
      <c r="F34">
        <v>45062</v>
      </c>
      <c r="G34" t="s">
        <v>29</v>
      </c>
    </row>
    <row r="35" spans="2:7" x14ac:dyDescent="0.3">
      <c r="B35">
        <v>67899</v>
      </c>
      <c r="C35" t="s">
        <v>12</v>
      </c>
      <c r="D35" t="s">
        <v>30</v>
      </c>
      <c r="E35">
        <v>52</v>
      </c>
      <c r="F35">
        <v>45062</v>
      </c>
      <c r="G35" t="s">
        <v>29</v>
      </c>
    </row>
    <row r="36" spans="2:7" x14ac:dyDescent="0.3">
      <c r="B36">
        <v>67899</v>
      </c>
      <c r="C36" t="s">
        <v>12</v>
      </c>
      <c r="D36" t="s">
        <v>33</v>
      </c>
      <c r="E36">
        <v>152</v>
      </c>
      <c r="F36">
        <v>45062</v>
      </c>
      <c r="G36" t="s">
        <v>34</v>
      </c>
    </row>
    <row r="37" spans="2:7" x14ac:dyDescent="0.3">
      <c r="B37">
        <v>67899</v>
      </c>
      <c r="C37" t="s">
        <v>12</v>
      </c>
      <c r="D37" t="s">
        <v>33</v>
      </c>
      <c r="E37">
        <v>900</v>
      </c>
      <c r="F37">
        <v>45062</v>
      </c>
      <c r="G37" t="s">
        <v>34</v>
      </c>
    </row>
    <row r="38" spans="2:7" x14ac:dyDescent="0.3">
      <c r="B38">
        <v>67899</v>
      </c>
      <c r="C38" t="s">
        <v>12</v>
      </c>
      <c r="D38" t="s">
        <v>30</v>
      </c>
      <c r="E38">
        <v>100</v>
      </c>
      <c r="F38">
        <v>45062</v>
      </c>
      <c r="G38" t="s">
        <v>29</v>
      </c>
    </row>
    <row r="39" spans="2:7" x14ac:dyDescent="0.3">
      <c r="B39">
        <v>67899</v>
      </c>
      <c r="C39" t="s">
        <v>12</v>
      </c>
      <c r="D39" t="s">
        <v>30</v>
      </c>
      <c r="E39">
        <v>300</v>
      </c>
      <c r="F39">
        <v>45062</v>
      </c>
      <c r="G39" t="s">
        <v>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8C76-1C99-482C-926A-E68F72134AFF}">
  <sheetPr codeName="Planilha5"/>
  <dimension ref="C5:U27"/>
  <sheetViews>
    <sheetView showGridLines="0" showRowColHeaders="0" workbookViewId="0">
      <selection activeCell="N39" sqref="N39"/>
    </sheetView>
  </sheetViews>
  <sheetFormatPr defaultRowHeight="14.4" x14ac:dyDescent="0.3"/>
  <cols>
    <col min="20" max="20" width="10.88671875" customWidth="1"/>
  </cols>
  <sheetData>
    <row r="5" spans="3:21" ht="33.6" x14ac:dyDescent="0.65">
      <c r="G5" s="30" t="s">
        <v>23</v>
      </c>
      <c r="H5" s="30"/>
      <c r="I5" s="30"/>
      <c r="J5" s="30"/>
      <c r="K5" s="30"/>
      <c r="L5" s="30"/>
      <c r="M5" s="30"/>
      <c r="N5" s="30"/>
      <c r="O5" s="30"/>
      <c r="P5" s="30"/>
    </row>
    <row r="6" spans="3:21" ht="14.4" customHeight="1" x14ac:dyDescent="0.3">
      <c r="G6" s="29">
        <v>0</v>
      </c>
      <c r="H6" s="29"/>
      <c r="I6" s="29"/>
      <c r="J6" s="29"/>
      <c r="K6" s="29"/>
      <c r="Q6" s="29">
        <v>0</v>
      </c>
      <c r="R6" s="29"/>
      <c r="S6" s="29"/>
      <c r="T6" s="29"/>
      <c r="U6" s="29"/>
    </row>
    <row r="7" spans="3:21" x14ac:dyDescent="0.3">
      <c r="G7" s="29"/>
      <c r="H7" s="29"/>
      <c r="I7" s="29"/>
      <c r="J7" s="29"/>
      <c r="K7" s="29"/>
      <c r="Q7" s="29"/>
      <c r="R7" s="29"/>
      <c r="S7" s="29"/>
      <c r="T7" s="29"/>
      <c r="U7" s="29"/>
    </row>
    <row r="8" spans="3:21" x14ac:dyDescent="0.3">
      <c r="G8" s="29"/>
      <c r="H8" s="29"/>
      <c r="I8" s="29"/>
      <c r="J8" s="29"/>
      <c r="K8" s="29"/>
      <c r="Q8" s="29"/>
      <c r="R8" s="29"/>
      <c r="S8" s="29"/>
      <c r="T8" s="29"/>
      <c r="U8" s="29"/>
    </row>
    <row r="9" spans="3:21" x14ac:dyDescent="0.3">
      <c r="G9" s="29"/>
      <c r="H9" s="29"/>
      <c r="I9" s="29"/>
      <c r="J9" s="29"/>
      <c r="K9" s="29"/>
      <c r="Q9" s="29"/>
      <c r="R9" s="29"/>
      <c r="S9" s="29"/>
      <c r="T9" s="29"/>
      <c r="U9" s="29"/>
    </row>
    <row r="10" spans="3:21" x14ac:dyDescent="0.3">
      <c r="G10" s="29"/>
      <c r="H10" s="29"/>
      <c r="I10" s="29"/>
      <c r="J10" s="29"/>
      <c r="K10" s="29"/>
      <c r="Q10" s="29"/>
      <c r="R10" s="29"/>
      <c r="S10" s="29"/>
      <c r="T10" s="29"/>
      <c r="U10" s="29"/>
    </row>
    <row r="11" spans="3:21" x14ac:dyDescent="0.3">
      <c r="G11" s="29"/>
      <c r="H11" s="29"/>
      <c r="I11" s="29"/>
      <c r="J11" s="29"/>
      <c r="K11" s="29"/>
      <c r="Q11" s="29"/>
      <c r="R11" s="29"/>
      <c r="S11" s="29"/>
      <c r="T11" s="29"/>
      <c r="U11" s="29"/>
    </row>
    <row r="12" spans="3:21" ht="15" thickBot="1" x14ac:dyDescent="0.35"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4" spans="3:21" x14ac:dyDescent="0.3">
      <c r="G14" s="29">
        <v>0</v>
      </c>
      <c r="H14" s="29"/>
      <c r="I14" s="29"/>
      <c r="J14" s="29"/>
      <c r="K14" s="29"/>
      <c r="Q14" s="29">
        <v>0</v>
      </c>
      <c r="R14" s="29"/>
      <c r="S14" s="29"/>
      <c r="T14" s="29"/>
      <c r="U14" s="29"/>
    </row>
    <row r="15" spans="3:21" x14ac:dyDescent="0.3">
      <c r="G15" s="29"/>
      <c r="H15" s="29"/>
      <c r="I15" s="29"/>
      <c r="J15" s="29"/>
      <c r="K15" s="29"/>
      <c r="Q15" s="29"/>
      <c r="R15" s="29"/>
      <c r="S15" s="29"/>
      <c r="T15" s="29"/>
      <c r="U15" s="29"/>
    </row>
    <row r="16" spans="3:21" x14ac:dyDescent="0.3">
      <c r="G16" s="29"/>
      <c r="H16" s="29"/>
      <c r="I16" s="29"/>
      <c r="J16" s="29"/>
      <c r="K16" s="29"/>
      <c r="Q16" s="29"/>
      <c r="R16" s="29"/>
      <c r="S16" s="29"/>
      <c r="T16" s="29"/>
      <c r="U16" s="29"/>
    </row>
    <row r="17" spans="3:21" x14ac:dyDescent="0.3">
      <c r="G17" s="29"/>
      <c r="H17" s="29"/>
      <c r="I17" s="29"/>
      <c r="J17" s="29"/>
      <c r="K17" s="29"/>
      <c r="Q17" s="29"/>
      <c r="R17" s="29"/>
      <c r="S17" s="29"/>
      <c r="T17" s="29"/>
      <c r="U17" s="29"/>
    </row>
    <row r="18" spans="3:21" x14ac:dyDescent="0.3">
      <c r="G18" s="29"/>
      <c r="H18" s="29"/>
      <c r="I18" s="29"/>
      <c r="J18" s="29"/>
      <c r="K18" s="29"/>
      <c r="Q18" s="29"/>
      <c r="R18" s="29"/>
      <c r="S18" s="29"/>
      <c r="T18" s="29"/>
      <c r="U18" s="29"/>
    </row>
    <row r="19" spans="3:21" x14ac:dyDescent="0.3">
      <c r="G19" s="29"/>
      <c r="H19" s="29"/>
      <c r="I19" s="29"/>
      <c r="J19" s="29"/>
      <c r="K19" s="29"/>
      <c r="Q19" s="29"/>
      <c r="R19" s="29"/>
      <c r="S19" s="29"/>
      <c r="T19" s="29"/>
      <c r="U19" s="29"/>
    </row>
    <row r="20" spans="3:21" ht="15" thickBot="1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3:21" ht="13.8" customHeight="1" x14ac:dyDescent="0.3">
      <c r="G21" s="12"/>
      <c r="H21" s="12"/>
      <c r="I21" s="12"/>
      <c r="J21" s="12"/>
      <c r="K21" s="12"/>
      <c r="Q21" s="12"/>
      <c r="R21" s="12"/>
      <c r="S21" s="12"/>
      <c r="T21" s="12"/>
      <c r="U21" s="12"/>
    </row>
    <row r="22" spans="3:21" x14ac:dyDescent="0.3">
      <c r="G22" s="29">
        <v>1</v>
      </c>
      <c r="H22" s="29"/>
      <c r="I22" s="29"/>
      <c r="J22" s="29"/>
      <c r="K22" s="29"/>
      <c r="Q22" s="29">
        <v>1</v>
      </c>
      <c r="R22" s="29"/>
      <c r="S22" s="29"/>
      <c r="T22" s="29"/>
      <c r="U22" s="29"/>
    </row>
    <row r="23" spans="3:21" x14ac:dyDescent="0.3">
      <c r="G23" s="29"/>
      <c r="H23" s="29"/>
      <c r="I23" s="29"/>
      <c r="J23" s="29"/>
      <c r="K23" s="29"/>
      <c r="Q23" s="29"/>
      <c r="R23" s="29"/>
      <c r="S23" s="29"/>
      <c r="T23" s="29"/>
      <c r="U23" s="29"/>
    </row>
    <row r="24" spans="3:21" x14ac:dyDescent="0.3">
      <c r="G24" s="29"/>
      <c r="H24" s="29"/>
      <c r="I24" s="29"/>
      <c r="J24" s="29"/>
      <c r="K24" s="29"/>
      <c r="Q24" s="29"/>
      <c r="R24" s="29"/>
      <c r="S24" s="29"/>
      <c r="T24" s="29"/>
      <c r="U24" s="29"/>
    </row>
    <row r="25" spans="3:21" x14ac:dyDescent="0.3">
      <c r="G25" s="29"/>
      <c r="H25" s="29"/>
      <c r="I25" s="29"/>
      <c r="J25" s="29"/>
      <c r="K25" s="29"/>
      <c r="Q25" s="29"/>
      <c r="R25" s="29"/>
      <c r="S25" s="29"/>
      <c r="T25" s="29"/>
      <c r="U25" s="29"/>
    </row>
    <row r="26" spans="3:21" x14ac:dyDescent="0.3">
      <c r="G26" s="29"/>
      <c r="H26" s="29"/>
      <c r="I26" s="29"/>
      <c r="J26" s="29"/>
      <c r="K26" s="29"/>
      <c r="Q26" s="29"/>
      <c r="R26" s="29"/>
      <c r="S26" s="29"/>
      <c r="T26" s="29"/>
      <c r="U26" s="29"/>
    </row>
    <row r="27" spans="3:21" x14ac:dyDescent="0.3">
      <c r="G27" s="29"/>
      <c r="H27" s="29"/>
      <c r="I27" s="29"/>
      <c r="J27" s="29"/>
      <c r="K27" s="29"/>
      <c r="Q27" s="29"/>
      <c r="R27" s="29"/>
      <c r="S27" s="29"/>
      <c r="T27" s="29"/>
      <c r="U27" s="29"/>
    </row>
  </sheetData>
  <mergeCells count="7">
    <mergeCell ref="G22:K27"/>
    <mergeCell ref="Q22:U27"/>
    <mergeCell ref="G5:P5"/>
    <mergeCell ref="G6:K11"/>
    <mergeCell ref="Q6:U11"/>
    <mergeCell ref="G14:K19"/>
    <mergeCell ref="Q14:U1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5782E-3886-403A-B149-99F23662271B}">
  <sheetPr codeName="Planilha6"/>
  <dimension ref="A1:G50"/>
  <sheetViews>
    <sheetView workbookViewId="0">
      <selection activeCell="K6" sqref="K6"/>
    </sheetView>
  </sheetViews>
  <sheetFormatPr defaultRowHeight="14.4" x14ac:dyDescent="0.3"/>
  <cols>
    <col min="1" max="2" width="10.88671875" bestFit="1" customWidth="1"/>
    <col min="3" max="3" width="14.5546875" bestFit="1" customWidth="1"/>
    <col min="4" max="4" width="16.77734375" bestFit="1" customWidth="1"/>
    <col min="5" max="5" width="18" customWidth="1"/>
    <col min="6" max="6" width="21.77734375" bestFit="1" customWidth="1"/>
    <col min="7" max="7" width="53.33203125" bestFit="1" customWidth="1"/>
  </cols>
  <sheetData>
    <row r="1" spans="1:7" ht="26.4" thickBot="1" x14ac:dyDescent="0.55000000000000004">
      <c r="A1" s="13" t="s">
        <v>24</v>
      </c>
      <c r="B1" s="13" t="s">
        <v>1</v>
      </c>
      <c r="C1" s="14" t="s">
        <v>7</v>
      </c>
      <c r="D1" s="14" t="s">
        <v>25</v>
      </c>
      <c r="E1" s="14" t="s">
        <v>26</v>
      </c>
      <c r="F1" s="14" t="s">
        <v>27</v>
      </c>
      <c r="G1" s="14" t="s">
        <v>28</v>
      </c>
    </row>
    <row r="2" spans="1:7" ht="25.8" x14ac:dyDescent="0.5">
      <c r="A2" s="1">
        <v>2</v>
      </c>
      <c r="B2" s="1">
        <v>67899</v>
      </c>
      <c r="C2" s="1" t="s">
        <v>12</v>
      </c>
      <c r="D2" s="1" t="s">
        <v>30</v>
      </c>
      <c r="E2" s="1">
        <v>200</v>
      </c>
      <c r="F2" s="16">
        <v>45042</v>
      </c>
      <c r="G2" s="3" t="s">
        <v>29</v>
      </c>
    </row>
    <row r="3" spans="1:7" ht="25.8" x14ac:dyDescent="0.5">
      <c r="A3" s="1">
        <v>3</v>
      </c>
      <c r="B3" s="1">
        <v>67899</v>
      </c>
      <c r="C3" s="1" t="s">
        <v>12</v>
      </c>
      <c r="D3" s="1" t="s">
        <v>30</v>
      </c>
      <c r="E3" s="1">
        <v>100</v>
      </c>
      <c r="F3" s="16">
        <v>45042</v>
      </c>
      <c r="G3" s="3" t="s">
        <v>29</v>
      </c>
    </row>
    <row r="4" spans="1:7" ht="25.8" x14ac:dyDescent="0.5">
      <c r="A4" s="1">
        <v>4</v>
      </c>
      <c r="B4" s="1">
        <v>67899</v>
      </c>
      <c r="C4" s="1" t="s">
        <v>12</v>
      </c>
      <c r="D4" s="1" t="s">
        <v>30</v>
      </c>
      <c r="E4" s="1">
        <v>250</v>
      </c>
      <c r="F4" s="16">
        <v>45043</v>
      </c>
      <c r="G4" s="3" t="s">
        <v>29</v>
      </c>
    </row>
    <row r="5" spans="1:7" ht="25.8" x14ac:dyDescent="0.5">
      <c r="A5" s="1">
        <v>5</v>
      </c>
      <c r="B5" s="1">
        <v>67899</v>
      </c>
      <c r="C5" s="1" t="s">
        <v>12</v>
      </c>
      <c r="D5" s="1" t="s">
        <v>30</v>
      </c>
      <c r="E5" s="1">
        <v>362</v>
      </c>
      <c r="F5" s="16">
        <v>45043</v>
      </c>
      <c r="G5" s="1" t="s">
        <v>29</v>
      </c>
    </row>
    <row r="6" spans="1:7" ht="25.8" x14ac:dyDescent="0.5">
      <c r="A6" s="1">
        <v>6</v>
      </c>
      <c r="B6" s="1">
        <v>67899</v>
      </c>
      <c r="C6" s="1" t="s">
        <v>12</v>
      </c>
      <c r="D6" s="1" t="s">
        <v>30</v>
      </c>
      <c r="E6" s="1">
        <v>367</v>
      </c>
      <c r="F6" s="16">
        <v>45043</v>
      </c>
      <c r="G6" s="1" t="s">
        <v>29</v>
      </c>
    </row>
    <row r="7" spans="1:7" ht="25.8" x14ac:dyDescent="0.5">
      <c r="A7" s="1">
        <v>7</v>
      </c>
      <c r="B7" s="1">
        <v>67899</v>
      </c>
      <c r="C7" s="1" t="s">
        <v>12</v>
      </c>
      <c r="D7" s="1" t="s">
        <v>33</v>
      </c>
      <c r="E7" s="1">
        <v>300</v>
      </c>
      <c r="F7" s="16">
        <v>45043</v>
      </c>
      <c r="G7" s="1" t="s">
        <v>34</v>
      </c>
    </row>
    <row r="8" spans="1:7" ht="25.8" x14ac:dyDescent="0.5">
      <c r="A8" s="1">
        <v>8</v>
      </c>
      <c r="B8" s="1">
        <v>67899</v>
      </c>
      <c r="C8" s="1" t="s">
        <v>12</v>
      </c>
      <c r="D8" s="1" t="s">
        <v>33</v>
      </c>
      <c r="E8" s="1">
        <v>300</v>
      </c>
      <c r="F8" s="16">
        <v>45043</v>
      </c>
      <c r="G8" s="1" t="s">
        <v>34</v>
      </c>
    </row>
    <row r="9" spans="1:7" ht="25.8" x14ac:dyDescent="0.5">
      <c r="A9" s="1">
        <v>9</v>
      </c>
      <c r="B9" s="1">
        <v>67899</v>
      </c>
      <c r="C9" s="1" t="s">
        <v>12</v>
      </c>
      <c r="D9" s="1" t="s">
        <v>30</v>
      </c>
      <c r="E9" s="1">
        <v>150</v>
      </c>
      <c r="F9" s="16">
        <v>45043</v>
      </c>
      <c r="G9" s="1" t="s">
        <v>38</v>
      </c>
    </row>
    <row r="10" spans="1:7" ht="25.8" x14ac:dyDescent="0.5">
      <c r="A10" s="1">
        <v>10</v>
      </c>
      <c r="B10" s="1">
        <v>67899</v>
      </c>
      <c r="C10" s="1" t="s">
        <v>12</v>
      </c>
      <c r="D10" s="1" t="s">
        <v>30</v>
      </c>
      <c r="E10" s="1">
        <v>200</v>
      </c>
      <c r="F10" s="16">
        <v>45043</v>
      </c>
      <c r="G10" s="1" t="s">
        <v>39</v>
      </c>
    </row>
    <row r="11" spans="1:7" ht="25.8" x14ac:dyDescent="0.5">
      <c r="A11" s="1">
        <v>11</v>
      </c>
      <c r="B11" s="1">
        <v>67899</v>
      </c>
      <c r="C11" s="1" t="s">
        <v>12</v>
      </c>
      <c r="D11" s="1" t="s">
        <v>30</v>
      </c>
      <c r="E11" s="1">
        <v>171</v>
      </c>
      <c r="F11" s="16">
        <v>45048</v>
      </c>
      <c r="G11" s="1" t="s">
        <v>40</v>
      </c>
    </row>
    <row r="12" spans="1:7" ht="25.8" x14ac:dyDescent="0.5">
      <c r="A12" s="1">
        <v>12</v>
      </c>
      <c r="B12" s="1">
        <v>67899</v>
      </c>
      <c r="C12" s="1" t="s">
        <v>12</v>
      </c>
      <c r="D12" s="1" t="s">
        <v>30</v>
      </c>
      <c r="E12" s="1">
        <v>100</v>
      </c>
      <c r="F12" s="16">
        <v>45048</v>
      </c>
      <c r="G12" s="1" t="s">
        <v>41</v>
      </c>
    </row>
    <row r="13" spans="1:7" ht="25.8" x14ac:dyDescent="0.5">
      <c r="A13" s="1">
        <v>13</v>
      </c>
      <c r="B13" s="1">
        <v>67899</v>
      </c>
      <c r="C13" s="1" t="s">
        <v>12</v>
      </c>
      <c r="D13" s="1" t="s">
        <v>33</v>
      </c>
      <c r="E13" s="1">
        <v>200</v>
      </c>
      <c r="F13" s="16">
        <v>45054</v>
      </c>
      <c r="G13" s="1" t="s">
        <v>34</v>
      </c>
    </row>
    <row r="14" spans="1:7" ht="25.8" x14ac:dyDescent="0.5">
      <c r="A14" s="1">
        <v>14</v>
      </c>
      <c r="B14" s="1">
        <v>67899</v>
      </c>
      <c r="C14" s="1" t="s">
        <v>12</v>
      </c>
      <c r="D14" s="1" t="s">
        <v>33</v>
      </c>
      <c r="E14" s="1">
        <v>400</v>
      </c>
      <c r="F14" s="16">
        <v>45054</v>
      </c>
      <c r="G14" s="1" t="s">
        <v>34</v>
      </c>
    </row>
    <row r="15" spans="1:7" ht="25.8" x14ac:dyDescent="0.5">
      <c r="A15" s="1">
        <v>15</v>
      </c>
      <c r="B15" s="1">
        <v>67899</v>
      </c>
      <c r="C15" s="1" t="s">
        <v>12</v>
      </c>
      <c r="D15" s="1" t="s">
        <v>30</v>
      </c>
      <c r="E15" s="1">
        <v>150</v>
      </c>
      <c r="F15" s="16">
        <v>45054</v>
      </c>
      <c r="G15" s="1" t="s">
        <v>43</v>
      </c>
    </row>
    <row r="16" spans="1:7" ht="25.8" x14ac:dyDescent="0.5">
      <c r="A16" s="1">
        <v>16</v>
      </c>
      <c r="B16" s="1">
        <v>67899</v>
      </c>
      <c r="C16" s="1" t="s">
        <v>12</v>
      </c>
      <c r="D16" s="1" t="s">
        <v>33</v>
      </c>
      <c r="E16" s="1"/>
      <c r="F16" s="16">
        <v>45062</v>
      </c>
      <c r="G16" s="1" t="s">
        <v>34</v>
      </c>
    </row>
    <row r="17" spans="1:7" ht="25.8" x14ac:dyDescent="0.5">
      <c r="A17" s="1">
        <v>17</v>
      </c>
      <c r="B17" s="1">
        <v>67899</v>
      </c>
      <c r="C17" s="1" t="s">
        <v>12</v>
      </c>
      <c r="D17" s="1" t="s">
        <v>33</v>
      </c>
      <c r="E17" s="1">
        <v>100</v>
      </c>
      <c r="F17" s="16">
        <v>45062</v>
      </c>
      <c r="G17" s="1" t="s">
        <v>34</v>
      </c>
    </row>
    <row r="18" spans="1:7" ht="25.8" x14ac:dyDescent="0.5">
      <c r="A18" s="1">
        <v>18</v>
      </c>
      <c r="B18" s="1">
        <v>67899</v>
      </c>
      <c r="C18" s="1" t="s">
        <v>12</v>
      </c>
      <c r="D18" s="1" t="s">
        <v>30</v>
      </c>
      <c r="E18" s="1">
        <v>50</v>
      </c>
      <c r="F18" s="16">
        <v>45062</v>
      </c>
      <c r="G18" s="1" t="s">
        <v>29</v>
      </c>
    </row>
    <row r="19" spans="1:7" ht="25.8" x14ac:dyDescent="0.5">
      <c r="A19" s="1">
        <v>19</v>
      </c>
      <c r="B19" s="1">
        <v>67899</v>
      </c>
      <c r="C19" s="1" t="s">
        <v>12</v>
      </c>
      <c r="D19" s="1" t="s">
        <v>30</v>
      </c>
      <c r="E19" s="1">
        <v>100</v>
      </c>
      <c r="F19" s="16">
        <v>45062</v>
      </c>
      <c r="G19" s="1" t="s">
        <v>29</v>
      </c>
    </row>
    <row r="20" spans="1:7" ht="25.8" x14ac:dyDescent="0.5">
      <c r="A20" s="1">
        <v>20</v>
      </c>
      <c r="B20" s="1">
        <v>67899</v>
      </c>
      <c r="C20" s="1" t="s">
        <v>12</v>
      </c>
      <c r="D20" s="1" t="s">
        <v>30</v>
      </c>
      <c r="E20" s="1">
        <v>40</v>
      </c>
      <c r="F20" s="16">
        <v>45062</v>
      </c>
      <c r="G20" s="1" t="s">
        <v>29</v>
      </c>
    </row>
    <row r="21" spans="1:7" ht="25.8" x14ac:dyDescent="0.5">
      <c r="A21" s="1">
        <v>21</v>
      </c>
      <c r="B21" s="1">
        <v>67899</v>
      </c>
      <c r="C21" s="1" t="s">
        <v>12</v>
      </c>
      <c r="D21" s="1" t="s">
        <v>30</v>
      </c>
      <c r="E21" s="1">
        <v>54</v>
      </c>
      <c r="F21" s="16">
        <v>45062</v>
      </c>
      <c r="G21" s="1" t="s">
        <v>29</v>
      </c>
    </row>
    <row r="22" spans="1:7" ht="25.8" x14ac:dyDescent="0.5">
      <c r="A22" s="1">
        <v>22</v>
      </c>
      <c r="B22" s="1">
        <v>67899</v>
      </c>
      <c r="C22" s="1" t="s">
        <v>12</v>
      </c>
      <c r="D22" s="1" t="s">
        <v>33</v>
      </c>
      <c r="E22" s="1">
        <v>154</v>
      </c>
      <c r="F22" s="16">
        <v>45062</v>
      </c>
      <c r="G22" s="1" t="s">
        <v>34</v>
      </c>
    </row>
    <row r="23" spans="1:7" ht="25.8" x14ac:dyDescent="0.5">
      <c r="A23" s="1">
        <v>23</v>
      </c>
      <c r="B23" s="1">
        <v>67899</v>
      </c>
      <c r="C23" s="1" t="s">
        <v>12</v>
      </c>
      <c r="D23" s="1" t="s">
        <v>30</v>
      </c>
      <c r="E23" s="1">
        <v>20</v>
      </c>
      <c r="F23" s="16">
        <v>45062</v>
      </c>
      <c r="G23" s="1" t="s">
        <v>29</v>
      </c>
    </row>
    <row r="24" spans="1:7" ht="25.8" x14ac:dyDescent="0.5">
      <c r="A24" s="1">
        <v>24</v>
      </c>
      <c r="B24" s="1">
        <v>67899</v>
      </c>
      <c r="C24" s="1" t="s">
        <v>12</v>
      </c>
      <c r="D24" s="1" t="s">
        <v>30</v>
      </c>
      <c r="E24" s="1">
        <v>20</v>
      </c>
      <c r="F24" s="16">
        <v>45062</v>
      </c>
      <c r="G24" s="1" t="s">
        <v>29</v>
      </c>
    </row>
    <row r="25" spans="1:7" ht="25.8" x14ac:dyDescent="0.5">
      <c r="A25" s="1">
        <v>25</v>
      </c>
      <c r="B25" s="1">
        <v>67899</v>
      </c>
      <c r="C25" s="1" t="s">
        <v>12</v>
      </c>
      <c r="D25" s="1" t="s">
        <v>30</v>
      </c>
      <c r="E25" s="1">
        <v>20</v>
      </c>
      <c r="F25" s="16">
        <v>45062</v>
      </c>
      <c r="G25" s="1" t="s">
        <v>29</v>
      </c>
    </row>
    <row r="26" spans="1:7" ht="25.8" x14ac:dyDescent="0.5">
      <c r="A26" s="1">
        <v>26</v>
      </c>
      <c r="B26" s="1">
        <v>67899</v>
      </c>
      <c r="C26" s="1" t="s">
        <v>12</v>
      </c>
      <c r="D26" s="1" t="s">
        <v>33</v>
      </c>
      <c r="E26" s="1">
        <v>1400</v>
      </c>
      <c r="F26" s="16">
        <v>45062</v>
      </c>
      <c r="G26" s="1" t="s">
        <v>34</v>
      </c>
    </row>
    <row r="27" spans="1:7" ht="25.8" x14ac:dyDescent="0.5">
      <c r="A27" s="1">
        <v>27</v>
      </c>
      <c r="B27" s="1">
        <v>67899</v>
      </c>
      <c r="C27" s="1" t="s">
        <v>12</v>
      </c>
      <c r="D27" s="1" t="s">
        <v>30</v>
      </c>
      <c r="E27" s="1">
        <v>100</v>
      </c>
      <c r="F27" s="16">
        <v>45062</v>
      </c>
      <c r="G27" s="1" t="s">
        <v>29</v>
      </c>
    </row>
    <row r="28" spans="1:7" ht="25.8" x14ac:dyDescent="0.5">
      <c r="A28" s="1">
        <v>28</v>
      </c>
      <c r="B28" s="1">
        <v>67899</v>
      </c>
      <c r="C28" s="1" t="s">
        <v>12</v>
      </c>
      <c r="D28" s="1" t="s">
        <v>30</v>
      </c>
      <c r="E28" s="1">
        <v>52</v>
      </c>
      <c r="F28" s="16">
        <v>45062</v>
      </c>
      <c r="G28" s="1" t="s">
        <v>29</v>
      </c>
    </row>
    <row r="29" spans="1:7" ht="25.8" x14ac:dyDescent="0.5">
      <c r="A29" s="1">
        <v>29</v>
      </c>
      <c r="B29" s="1">
        <v>67899</v>
      </c>
      <c r="C29" s="1" t="s">
        <v>12</v>
      </c>
      <c r="D29" s="1" t="s">
        <v>33</v>
      </c>
      <c r="E29" s="1">
        <v>152</v>
      </c>
      <c r="F29" s="16">
        <v>45062</v>
      </c>
      <c r="G29" s="1" t="s">
        <v>34</v>
      </c>
    </row>
    <row r="30" spans="1:7" ht="25.8" x14ac:dyDescent="0.5">
      <c r="A30" s="1">
        <v>30</v>
      </c>
      <c r="B30" s="1">
        <v>67899</v>
      </c>
      <c r="C30" s="1" t="s">
        <v>12</v>
      </c>
      <c r="D30" s="1" t="s">
        <v>33</v>
      </c>
      <c r="E30" s="1">
        <v>900</v>
      </c>
      <c r="F30" s="16">
        <v>45062</v>
      </c>
      <c r="G30" s="1" t="s">
        <v>34</v>
      </c>
    </row>
    <row r="31" spans="1:7" ht="25.8" x14ac:dyDescent="0.5">
      <c r="A31" s="1">
        <v>31</v>
      </c>
      <c r="B31" s="1">
        <v>67899</v>
      </c>
      <c r="C31" s="1" t="s">
        <v>12</v>
      </c>
      <c r="D31" s="1" t="s">
        <v>30</v>
      </c>
      <c r="E31" s="1">
        <v>100</v>
      </c>
      <c r="F31" s="16">
        <v>45062</v>
      </c>
      <c r="G31" s="1" t="s">
        <v>29</v>
      </c>
    </row>
    <row r="32" spans="1:7" ht="25.8" x14ac:dyDescent="0.5">
      <c r="A32" s="1">
        <v>32</v>
      </c>
      <c r="B32" s="1">
        <v>67899</v>
      </c>
      <c r="C32" s="1" t="s">
        <v>12</v>
      </c>
      <c r="D32" s="1" t="s">
        <v>30</v>
      </c>
      <c r="E32" s="1">
        <v>300</v>
      </c>
      <c r="F32" s="16">
        <v>45062</v>
      </c>
      <c r="G32" s="1" t="s">
        <v>29</v>
      </c>
    </row>
    <row r="33" spans="1:7" ht="25.8" x14ac:dyDescent="0.5">
      <c r="A33" s="1"/>
      <c r="B33" s="1"/>
      <c r="C33" s="1"/>
      <c r="D33" s="1"/>
      <c r="E33" s="1"/>
      <c r="F33" s="16"/>
      <c r="G33" s="1"/>
    </row>
    <row r="34" spans="1:7" ht="25.8" x14ac:dyDescent="0.5">
      <c r="A34" s="1"/>
      <c r="B34" s="1"/>
      <c r="C34" s="1"/>
      <c r="D34" s="1"/>
      <c r="E34" s="1"/>
      <c r="F34" s="16"/>
      <c r="G34" s="1"/>
    </row>
    <row r="35" spans="1:7" ht="25.8" x14ac:dyDescent="0.5">
      <c r="A35" s="1"/>
      <c r="B35" s="1"/>
      <c r="C35" s="1"/>
      <c r="D35" s="1"/>
      <c r="E35" s="1"/>
      <c r="F35" s="16"/>
      <c r="G35" s="1"/>
    </row>
    <row r="36" spans="1:7" ht="25.8" x14ac:dyDescent="0.5">
      <c r="A36" s="1"/>
      <c r="B36" s="1"/>
      <c r="C36" s="1"/>
      <c r="D36" s="1"/>
      <c r="E36" s="1"/>
      <c r="F36" s="16"/>
      <c r="G36" s="1"/>
    </row>
    <row r="37" spans="1:7" ht="25.8" x14ac:dyDescent="0.5">
      <c r="A37" s="1"/>
      <c r="B37" s="1"/>
      <c r="C37" s="1"/>
      <c r="D37" s="1"/>
      <c r="E37" s="1"/>
      <c r="F37" s="16"/>
      <c r="G37" s="1"/>
    </row>
    <row r="38" spans="1:7" ht="25.8" x14ac:dyDescent="0.5">
      <c r="A38" s="1"/>
      <c r="B38" s="1"/>
      <c r="C38" s="1"/>
      <c r="D38" s="1"/>
      <c r="E38" s="1"/>
      <c r="F38" s="16"/>
      <c r="G38" s="1"/>
    </row>
    <row r="39" spans="1:7" ht="25.8" x14ac:dyDescent="0.5">
      <c r="A39" s="1"/>
      <c r="B39" s="1"/>
      <c r="C39" s="1"/>
      <c r="D39" s="1"/>
      <c r="E39" s="1"/>
      <c r="F39" s="16"/>
      <c r="G39" s="1"/>
    </row>
    <row r="40" spans="1:7" ht="25.8" x14ac:dyDescent="0.5">
      <c r="A40" s="1"/>
      <c r="B40" s="1"/>
      <c r="C40" s="1"/>
      <c r="D40" s="1"/>
      <c r="E40" s="1"/>
      <c r="F40" s="16"/>
      <c r="G40" s="1"/>
    </row>
    <row r="41" spans="1:7" ht="25.8" x14ac:dyDescent="0.5">
      <c r="A41" s="1"/>
      <c r="B41" s="1"/>
      <c r="C41" s="1"/>
      <c r="D41" s="1"/>
      <c r="E41" s="1"/>
      <c r="F41" s="16"/>
      <c r="G41" s="1"/>
    </row>
    <row r="42" spans="1:7" ht="25.8" x14ac:dyDescent="0.5">
      <c r="A42" s="1"/>
      <c r="B42" s="1"/>
      <c r="C42" s="1"/>
      <c r="D42" s="1"/>
      <c r="E42" s="1"/>
      <c r="F42" s="16"/>
      <c r="G42" s="1"/>
    </row>
    <row r="43" spans="1:7" ht="25.8" x14ac:dyDescent="0.5">
      <c r="A43" s="1"/>
      <c r="B43" s="1"/>
      <c r="C43" s="1"/>
      <c r="D43" s="1"/>
      <c r="E43" s="1"/>
      <c r="F43" s="16"/>
      <c r="G43" s="1"/>
    </row>
    <row r="44" spans="1:7" ht="25.8" x14ac:dyDescent="0.5">
      <c r="A44" s="1"/>
      <c r="B44" s="1"/>
      <c r="C44" s="1"/>
      <c r="D44" s="1"/>
      <c r="E44" s="1"/>
      <c r="F44" s="16"/>
      <c r="G44" s="1"/>
    </row>
    <row r="45" spans="1:7" ht="25.8" x14ac:dyDescent="0.5">
      <c r="A45" s="1"/>
      <c r="B45" s="1"/>
      <c r="C45" s="1"/>
      <c r="D45" s="1"/>
      <c r="E45" s="1"/>
      <c r="F45" s="16"/>
      <c r="G45" s="1"/>
    </row>
    <row r="46" spans="1:7" ht="25.8" x14ac:dyDescent="0.5">
      <c r="A46" s="1"/>
      <c r="B46" s="1"/>
      <c r="C46" s="1"/>
      <c r="D46" s="1"/>
      <c r="E46" s="1"/>
      <c r="F46" s="16"/>
      <c r="G46" s="1"/>
    </row>
    <row r="47" spans="1:7" ht="25.8" x14ac:dyDescent="0.5">
      <c r="A47" s="1"/>
      <c r="B47" s="1"/>
      <c r="C47" s="1"/>
      <c r="D47" s="1"/>
      <c r="E47" s="1"/>
      <c r="F47" s="16"/>
      <c r="G47" s="1"/>
    </row>
    <row r="48" spans="1:7" ht="25.8" x14ac:dyDescent="0.5">
      <c r="A48" s="1"/>
      <c r="B48" s="1"/>
      <c r="C48" s="1"/>
      <c r="D48" s="1"/>
      <c r="E48" s="1"/>
      <c r="F48" s="16"/>
      <c r="G48" s="1"/>
    </row>
    <row r="49" spans="1:7" ht="25.8" x14ac:dyDescent="0.5">
      <c r="A49" s="1"/>
      <c r="B49" s="1"/>
      <c r="C49" s="1"/>
      <c r="D49" s="1"/>
      <c r="E49" s="1"/>
      <c r="F49" s="16"/>
      <c r="G49" s="1"/>
    </row>
    <row r="50" spans="1:7" ht="25.8" x14ac:dyDescent="0.5">
      <c r="A50" s="1"/>
      <c r="B50" s="1"/>
      <c r="C50" s="1"/>
      <c r="D50" s="1"/>
      <c r="E50" s="1"/>
      <c r="F50" s="16"/>
      <c r="G50" s="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Contas</vt:lpstr>
      <vt:lpstr>Acesso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ANTONIO LEITE DO CARMO LEITE</dc:creator>
  <cp:lastModifiedBy>MARCO ANTONIO LEITE DO CARMO LEITE</cp:lastModifiedBy>
  <dcterms:created xsi:type="dcterms:W3CDTF">2023-04-24T13:13:47Z</dcterms:created>
  <dcterms:modified xsi:type="dcterms:W3CDTF">2023-05-16T19:19:18Z</dcterms:modified>
</cp:coreProperties>
</file>